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htisham Mushtaq\Downloads\"/>
    </mc:Choice>
  </mc:AlternateContent>
  <xr:revisionPtr revIDLastSave="0" documentId="8_{DA787722-F9C6-43D3-A91C-5F12CC0BF611}" xr6:coauthVersionLast="47" xr6:coauthVersionMax="47" xr10:uidLastSave="{00000000-0000-0000-0000-000000000000}"/>
  <bookViews>
    <workbookView xWindow="-108" yWindow="-108" windowWidth="23256" windowHeight="12456" tabRatio="872" firstSheet="8" activeTab="8" xr2:uid="{00000000-000D-0000-FFFF-FFFF00000000}"/>
  </bookViews>
  <sheets>
    <sheet name="Setup" sheetId="1" r:id="rId1"/>
    <sheet name="Annual_Summary" sheetId="2" r:id="rId2"/>
    <sheet name="Attendance_Jan" sheetId="3" r:id="rId3"/>
    <sheet name="Attendance_Feb" sheetId="4" r:id="rId4"/>
    <sheet name="Attendance_Mar" sheetId="5" r:id="rId5"/>
    <sheet name="Attendance_Apr" sheetId="6" r:id="rId6"/>
    <sheet name="Attendance_May" sheetId="7" r:id="rId7"/>
    <sheet name="Attendance_Jun" sheetId="8" r:id="rId8"/>
    <sheet name="Attendance_Jul" sheetId="9" r:id="rId9"/>
    <sheet name="Attendance_Aug" sheetId="10" r:id="rId10"/>
    <sheet name="Attendance_Sep" sheetId="11" r:id="rId11"/>
    <sheet name="Attendance_Oct" sheetId="12" r:id="rId12"/>
    <sheet name="Attendance_Nov" sheetId="13" r:id="rId13"/>
    <sheet name="Attendance_Dec" sheetId="14" r:id="rId14"/>
    <sheet name="Payroll_Jan" sheetId="15" r:id="rId15"/>
    <sheet name="Payroll_Feb" sheetId="16" r:id="rId16"/>
    <sheet name="Payroll_Mar" sheetId="17" r:id="rId17"/>
    <sheet name="Payroll_Apr" sheetId="18" r:id="rId18"/>
    <sheet name="Payroll_May" sheetId="19" r:id="rId19"/>
    <sheet name="Payroll_Jun" sheetId="20" r:id="rId20"/>
    <sheet name="Payroll_Jul" sheetId="21" r:id="rId21"/>
    <sheet name="Payroll_Aug" sheetId="22" r:id="rId22"/>
    <sheet name="Payroll_Sep" sheetId="23" r:id="rId23"/>
    <sheet name="Payroll_Oct" sheetId="24" r:id="rId24"/>
    <sheet name="Payroll_Nov" sheetId="25" r:id="rId25"/>
    <sheet name="Payroll_Dec" sheetId="26" r:id="rId26"/>
  </sheets>
  <definedNames>
    <definedName name="_xlnm.Print_Titles" localSheetId="5">Attendance_Apr!$6:$6</definedName>
    <definedName name="_xlnm.Print_Titles" localSheetId="9">Attendance_Aug!$6:$6</definedName>
    <definedName name="_xlnm.Print_Titles" localSheetId="13">Attendance_Dec!$6:$6</definedName>
    <definedName name="_xlnm.Print_Titles" localSheetId="3">Attendance_Feb!$6:$6</definedName>
    <definedName name="_xlnm.Print_Titles" localSheetId="2">Attendance_Jan!$6:$6</definedName>
    <definedName name="_xlnm.Print_Titles" localSheetId="8">Attendance_Jul!$6:$6</definedName>
    <definedName name="_xlnm.Print_Titles" localSheetId="7">Attendance_Jun!$6:$6</definedName>
    <definedName name="_xlnm.Print_Titles" localSheetId="4">Attendance_Mar!$6:$6</definedName>
    <definedName name="_xlnm.Print_Titles" localSheetId="6">Attendance_May!$6:$6</definedName>
    <definedName name="_xlnm.Print_Titles" localSheetId="12">Attendance_Nov!$6:$6</definedName>
    <definedName name="_xlnm.Print_Titles" localSheetId="11">Attendance_Oct!$6:$6</definedName>
    <definedName name="_xlnm.Print_Titles" localSheetId="10">Attendance_Sep!$6:$6</definedName>
    <definedName name="_xlnm.Print_Titles" localSheetId="17">Payroll_Apr!$7:$7</definedName>
    <definedName name="_xlnm.Print_Titles" localSheetId="21">Payroll_Aug!$7:$7</definedName>
    <definedName name="_xlnm.Print_Titles" localSheetId="25">Payroll_Dec!$7:$7</definedName>
    <definedName name="_xlnm.Print_Titles" localSheetId="15">Payroll_Feb!$7:$7</definedName>
    <definedName name="_xlnm.Print_Titles" localSheetId="14">Payroll_Jan!$7:$7</definedName>
    <definedName name="_xlnm.Print_Titles" localSheetId="20">Payroll_Jul!$7:$7</definedName>
    <definedName name="_xlnm.Print_Titles" localSheetId="19">Payroll_Jun!$7:$7</definedName>
    <definedName name="_xlnm.Print_Titles" localSheetId="16">Payroll_Mar!$7:$7</definedName>
    <definedName name="_xlnm.Print_Titles" localSheetId="18">Payroll_May!$7:$7</definedName>
    <definedName name="_xlnm.Print_Titles" localSheetId="24">Payroll_Nov!$7:$7</definedName>
    <definedName name="_xlnm.Print_Titles" localSheetId="23">Payroll_Oct!$7:$7</definedName>
    <definedName name="_xlnm.Print_Titles" localSheetId="22">Payroll_Sep!$7:$7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8" l="1"/>
  <c r="Q38" i="26" l="1"/>
  <c r="O38" i="26"/>
  <c r="N38" i="26"/>
  <c r="R37" i="26"/>
  <c r="P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A37" i="26"/>
  <c r="R36" i="26"/>
  <c r="P36" i="26"/>
  <c r="M36" i="26"/>
  <c r="L36" i="26"/>
  <c r="K36" i="26"/>
  <c r="J36" i="26"/>
  <c r="I36" i="26"/>
  <c r="H36" i="26"/>
  <c r="G36" i="26"/>
  <c r="F36" i="26"/>
  <c r="E36" i="26"/>
  <c r="D36" i="26"/>
  <c r="C36" i="26"/>
  <c r="B36" i="26"/>
  <c r="A36" i="26"/>
  <c r="R35" i="26"/>
  <c r="P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A35" i="26"/>
  <c r="R34" i="26"/>
  <c r="P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A34" i="26"/>
  <c r="R33" i="26"/>
  <c r="P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A33" i="26"/>
  <c r="R32" i="26"/>
  <c r="P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A32" i="26"/>
  <c r="R31" i="26"/>
  <c r="P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A31" i="26"/>
  <c r="R30" i="26"/>
  <c r="P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A30" i="26"/>
  <c r="R29" i="26"/>
  <c r="P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A29" i="26"/>
  <c r="R28" i="26"/>
  <c r="P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A28" i="26"/>
  <c r="R27" i="26"/>
  <c r="P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27" i="26"/>
  <c r="R26" i="26"/>
  <c r="P26" i="26"/>
  <c r="M26" i="26"/>
  <c r="L26" i="26"/>
  <c r="K26" i="26"/>
  <c r="J26" i="26"/>
  <c r="I26" i="26"/>
  <c r="H26" i="26"/>
  <c r="G26" i="26"/>
  <c r="F26" i="26"/>
  <c r="E26" i="26"/>
  <c r="D26" i="26"/>
  <c r="C26" i="26"/>
  <c r="B26" i="26"/>
  <c r="A26" i="26"/>
  <c r="R25" i="26"/>
  <c r="P25" i="26"/>
  <c r="M25" i="26"/>
  <c r="L25" i="26"/>
  <c r="K25" i="26"/>
  <c r="J25" i="26"/>
  <c r="I25" i="26"/>
  <c r="H25" i="26"/>
  <c r="G25" i="26"/>
  <c r="F25" i="26"/>
  <c r="E25" i="26"/>
  <c r="D25" i="26"/>
  <c r="C25" i="26"/>
  <c r="B25" i="26"/>
  <c r="A25" i="26"/>
  <c r="R24" i="26"/>
  <c r="P24" i="26"/>
  <c r="M24" i="26"/>
  <c r="L24" i="26"/>
  <c r="K24" i="26"/>
  <c r="J24" i="26"/>
  <c r="I24" i="26"/>
  <c r="H24" i="26"/>
  <c r="G24" i="26"/>
  <c r="F24" i="26"/>
  <c r="E24" i="26"/>
  <c r="D24" i="26"/>
  <c r="C24" i="26"/>
  <c r="B24" i="26"/>
  <c r="A24" i="26"/>
  <c r="R23" i="26"/>
  <c r="P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A23" i="26"/>
  <c r="E22" i="26"/>
  <c r="K22" i="26" s="1"/>
  <c r="C22" i="26"/>
  <c r="B22" i="26"/>
  <c r="F22" i="26" s="1"/>
  <c r="A22" i="26"/>
  <c r="C21" i="26"/>
  <c r="B21" i="26"/>
  <c r="F21" i="26" s="1"/>
  <c r="A21" i="26"/>
  <c r="C20" i="26"/>
  <c r="B20" i="26"/>
  <c r="A20" i="26"/>
  <c r="C19" i="26"/>
  <c r="F19" i="26" s="1"/>
  <c r="B19" i="26"/>
  <c r="A19" i="26"/>
  <c r="C18" i="26"/>
  <c r="B18" i="26"/>
  <c r="A18" i="26"/>
  <c r="C17" i="26"/>
  <c r="B17" i="26"/>
  <c r="A17" i="26"/>
  <c r="C16" i="26"/>
  <c r="F16" i="26" s="1"/>
  <c r="B16" i="26"/>
  <c r="A16" i="26"/>
  <c r="C15" i="26"/>
  <c r="B15" i="26"/>
  <c r="F15" i="26" s="1"/>
  <c r="A15" i="26"/>
  <c r="C14" i="26"/>
  <c r="F14" i="26" s="1"/>
  <c r="B14" i="26"/>
  <c r="A14" i="26"/>
  <c r="C13" i="26"/>
  <c r="B13" i="26"/>
  <c r="A13" i="26"/>
  <c r="C12" i="26"/>
  <c r="B12" i="26"/>
  <c r="A12" i="26"/>
  <c r="C11" i="26"/>
  <c r="B11" i="26"/>
  <c r="A11" i="26"/>
  <c r="C10" i="26"/>
  <c r="B10" i="26"/>
  <c r="A10" i="26"/>
  <c r="C9" i="26"/>
  <c r="B9" i="26"/>
  <c r="A9" i="26"/>
  <c r="C8" i="26"/>
  <c r="B8" i="26"/>
  <c r="F8" i="26" s="1"/>
  <c r="A8" i="26"/>
  <c r="B5" i="26"/>
  <c r="B4" i="26"/>
  <c r="Q38" i="25"/>
  <c r="O38" i="25"/>
  <c r="N38" i="25"/>
  <c r="R37" i="25"/>
  <c r="P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A37" i="25"/>
  <c r="R36" i="25"/>
  <c r="P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A36" i="25"/>
  <c r="R35" i="25"/>
  <c r="P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A35" i="25"/>
  <c r="R34" i="25"/>
  <c r="P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A34" i="25"/>
  <c r="R33" i="25"/>
  <c r="P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A33" i="25"/>
  <c r="R32" i="25"/>
  <c r="P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A32" i="25"/>
  <c r="R31" i="25"/>
  <c r="P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A31" i="25"/>
  <c r="R30" i="25"/>
  <c r="P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A30" i="25"/>
  <c r="R29" i="25"/>
  <c r="P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A29" i="25"/>
  <c r="R28" i="25"/>
  <c r="P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A28" i="25"/>
  <c r="R27" i="25"/>
  <c r="P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27" i="25"/>
  <c r="R26" i="25"/>
  <c r="P26" i="25"/>
  <c r="M26" i="25"/>
  <c r="L26" i="25"/>
  <c r="K26" i="25"/>
  <c r="J26" i="25"/>
  <c r="I26" i="25"/>
  <c r="H26" i="25"/>
  <c r="G26" i="25"/>
  <c r="F26" i="25"/>
  <c r="E26" i="25"/>
  <c r="D26" i="25"/>
  <c r="C26" i="25"/>
  <c r="B26" i="25"/>
  <c r="A26" i="25"/>
  <c r="R25" i="25"/>
  <c r="P25" i="25"/>
  <c r="M25" i="25"/>
  <c r="L25" i="25"/>
  <c r="K25" i="25"/>
  <c r="J25" i="25"/>
  <c r="I25" i="25"/>
  <c r="H25" i="25"/>
  <c r="G25" i="25"/>
  <c r="F25" i="25"/>
  <c r="E25" i="25"/>
  <c r="D25" i="25"/>
  <c r="C25" i="25"/>
  <c r="B25" i="25"/>
  <c r="A25" i="25"/>
  <c r="R24" i="25"/>
  <c r="P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A24" i="25"/>
  <c r="R23" i="25"/>
  <c r="P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A23" i="25"/>
  <c r="C22" i="25"/>
  <c r="B22" i="25"/>
  <c r="A22" i="25"/>
  <c r="C21" i="25"/>
  <c r="B21" i="25"/>
  <c r="F21" i="25" s="1"/>
  <c r="A21" i="25"/>
  <c r="C20" i="25"/>
  <c r="B20" i="25"/>
  <c r="A20" i="25"/>
  <c r="C19" i="25"/>
  <c r="B19" i="25"/>
  <c r="A19" i="25"/>
  <c r="C18" i="25"/>
  <c r="B18" i="25"/>
  <c r="F18" i="25" s="1"/>
  <c r="A18" i="25"/>
  <c r="C17" i="25"/>
  <c r="B17" i="25"/>
  <c r="A17" i="25"/>
  <c r="C16" i="25"/>
  <c r="B16" i="25"/>
  <c r="A16" i="25"/>
  <c r="C15" i="25"/>
  <c r="B15" i="25"/>
  <c r="A15" i="25"/>
  <c r="C14" i="25"/>
  <c r="B14" i="25"/>
  <c r="F14" i="25" s="1"/>
  <c r="A14" i="25"/>
  <c r="C13" i="25"/>
  <c r="B13" i="25"/>
  <c r="A13" i="25"/>
  <c r="C12" i="25"/>
  <c r="B12" i="25"/>
  <c r="F12" i="25" s="1"/>
  <c r="A12" i="25"/>
  <c r="C11" i="25"/>
  <c r="B11" i="25"/>
  <c r="A11" i="25"/>
  <c r="C10" i="25"/>
  <c r="F10" i="25" s="1"/>
  <c r="B10" i="25"/>
  <c r="A10" i="25"/>
  <c r="C9" i="25"/>
  <c r="B9" i="25"/>
  <c r="A9" i="25"/>
  <c r="C8" i="25"/>
  <c r="B8" i="25"/>
  <c r="A8" i="25"/>
  <c r="B5" i="25"/>
  <c r="B4" i="25"/>
  <c r="Q38" i="24"/>
  <c r="O38" i="24"/>
  <c r="N38" i="24"/>
  <c r="R37" i="24"/>
  <c r="P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A37" i="24"/>
  <c r="R36" i="24"/>
  <c r="P36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A36" i="24"/>
  <c r="R35" i="24"/>
  <c r="P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A35" i="24"/>
  <c r="R34" i="24"/>
  <c r="P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A34" i="24"/>
  <c r="R33" i="24"/>
  <c r="P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A33" i="24"/>
  <c r="R32" i="24"/>
  <c r="P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A32" i="24"/>
  <c r="R31" i="24"/>
  <c r="P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A31" i="24"/>
  <c r="R30" i="24"/>
  <c r="P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A30" i="24"/>
  <c r="R29" i="24"/>
  <c r="P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A29" i="24"/>
  <c r="R28" i="24"/>
  <c r="P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A28" i="24"/>
  <c r="R27" i="24"/>
  <c r="P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27" i="24"/>
  <c r="R26" i="24"/>
  <c r="P26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A26" i="24"/>
  <c r="R25" i="24"/>
  <c r="P25" i="24"/>
  <c r="M25" i="24"/>
  <c r="L25" i="24"/>
  <c r="K25" i="24"/>
  <c r="J25" i="24"/>
  <c r="I25" i="24"/>
  <c r="H25" i="24"/>
  <c r="G25" i="24"/>
  <c r="F25" i="24"/>
  <c r="E25" i="24"/>
  <c r="D25" i="24"/>
  <c r="C25" i="24"/>
  <c r="B25" i="24"/>
  <c r="A25" i="24"/>
  <c r="R24" i="24"/>
  <c r="P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A24" i="24"/>
  <c r="R23" i="24"/>
  <c r="P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A23" i="24"/>
  <c r="C22" i="24"/>
  <c r="B22" i="24"/>
  <c r="A22" i="24"/>
  <c r="C21" i="24"/>
  <c r="B21" i="24"/>
  <c r="A21" i="24"/>
  <c r="C20" i="24"/>
  <c r="B20" i="24"/>
  <c r="A20" i="24"/>
  <c r="C19" i="24"/>
  <c r="B19" i="24"/>
  <c r="A19" i="24"/>
  <c r="F18" i="24"/>
  <c r="C18" i="24"/>
  <c r="B18" i="24"/>
  <c r="A18" i="24"/>
  <c r="C17" i="24"/>
  <c r="B17" i="24"/>
  <c r="A17" i="24"/>
  <c r="C16" i="24"/>
  <c r="B16" i="24"/>
  <c r="A16" i="24"/>
  <c r="C15" i="24"/>
  <c r="B15" i="24"/>
  <c r="A15" i="24"/>
  <c r="C14" i="24"/>
  <c r="B14" i="24"/>
  <c r="A14" i="24"/>
  <c r="C13" i="24"/>
  <c r="B13" i="24"/>
  <c r="A13" i="24"/>
  <c r="C12" i="24"/>
  <c r="B12" i="24"/>
  <c r="F12" i="24" s="1"/>
  <c r="A12" i="24"/>
  <c r="C11" i="24"/>
  <c r="B11" i="24"/>
  <c r="A11" i="24"/>
  <c r="C10" i="24"/>
  <c r="B10" i="24"/>
  <c r="F10" i="24" s="1"/>
  <c r="A10" i="24"/>
  <c r="C9" i="24"/>
  <c r="B9" i="24"/>
  <c r="A9" i="24"/>
  <c r="C8" i="24"/>
  <c r="F8" i="24" s="1"/>
  <c r="B8" i="24"/>
  <c r="A8" i="24"/>
  <c r="B5" i="24"/>
  <c r="B4" i="24"/>
  <c r="Q38" i="23"/>
  <c r="O38" i="23"/>
  <c r="N38" i="23"/>
  <c r="R37" i="23"/>
  <c r="P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A37" i="23"/>
  <c r="R36" i="23"/>
  <c r="P36" i="23"/>
  <c r="M36" i="23"/>
  <c r="L36" i="23"/>
  <c r="K36" i="23"/>
  <c r="J36" i="23"/>
  <c r="I36" i="23"/>
  <c r="H36" i="23"/>
  <c r="G36" i="23"/>
  <c r="F36" i="23"/>
  <c r="E36" i="23"/>
  <c r="D36" i="23"/>
  <c r="C36" i="23"/>
  <c r="B36" i="23"/>
  <c r="A36" i="23"/>
  <c r="R35" i="23"/>
  <c r="P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A35" i="23"/>
  <c r="R34" i="23"/>
  <c r="P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A34" i="23"/>
  <c r="R33" i="23"/>
  <c r="P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A33" i="23"/>
  <c r="R32" i="23"/>
  <c r="P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A32" i="23"/>
  <c r="R31" i="23"/>
  <c r="P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A31" i="23"/>
  <c r="R30" i="23"/>
  <c r="P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A30" i="23"/>
  <c r="R29" i="23"/>
  <c r="P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A29" i="23"/>
  <c r="R28" i="23"/>
  <c r="P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A28" i="23"/>
  <c r="R27" i="23"/>
  <c r="P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27" i="23"/>
  <c r="R26" i="23"/>
  <c r="P26" i="23"/>
  <c r="M26" i="23"/>
  <c r="L26" i="23"/>
  <c r="K26" i="23"/>
  <c r="J26" i="23"/>
  <c r="I26" i="23"/>
  <c r="H26" i="23"/>
  <c r="G26" i="23"/>
  <c r="F26" i="23"/>
  <c r="E26" i="23"/>
  <c r="D26" i="23"/>
  <c r="C26" i="23"/>
  <c r="B26" i="23"/>
  <c r="A26" i="23"/>
  <c r="R25" i="23"/>
  <c r="P25" i="23"/>
  <c r="M25" i="23"/>
  <c r="L25" i="23"/>
  <c r="K25" i="23"/>
  <c r="J25" i="23"/>
  <c r="I25" i="23"/>
  <c r="H25" i="23"/>
  <c r="G25" i="23"/>
  <c r="F25" i="23"/>
  <c r="E25" i="23"/>
  <c r="D25" i="23"/>
  <c r="C25" i="23"/>
  <c r="B25" i="23"/>
  <c r="A25" i="23"/>
  <c r="R24" i="23"/>
  <c r="P24" i="23"/>
  <c r="M24" i="23"/>
  <c r="L24" i="23"/>
  <c r="K24" i="23"/>
  <c r="J24" i="23"/>
  <c r="I24" i="23"/>
  <c r="H24" i="23"/>
  <c r="G24" i="23"/>
  <c r="F24" i="23"/>
  <c r="E24" i="23"/>
  <c r="D24" i="23"/>
  <c r="C24" i="23"/>
  <c r="B24" i="23"/>
  <c r="A24" i="23"/>
  <c r="R23" i="23"/>
  <c r="P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A23" i="23"/>
  <c r="D22" i="23"/>
  <c r="H22" i="23" s="1"/>
  <c r="C22" i="23"/>
  <c r="B22" i="23"/>
  <c r="F22" i="23" s="1"/>
  <c r="A22" i="23"/>
  <c r="C21" i="23"/>
  <c r="B21" i="23"/>
  <c r="A21" i="23"/>
  <c r="C20" i="23"/>
  <c r="F20" i="23" s="1"/>
  <c r="B20" i="23"/>
  <c r="A20" i="23"/>
  <c r="C19" i="23"/>
  <c r="B19" i="23"/>
  <c r="F19" i="23" s="1"/>
  <c r="A19" i="23"/>
  <c r="C18" i="23"/>
  <c r="B18" i="23"/>
  <c r="A18" i="23"/>
  <c r="C17" i="23"/>
  <c r="B17" i="23"/>
  <c r="F17" i="23" s="1"/>
  <c r="A17" i="23"/>
  <c r="C16" i="23"/>
  <c r="B16" i="23"/>
  <c r="F16" i="23" s="1"/>
  <c r="A16" i="23"/>
  <c r="F15" i="23"/>
  <c r="C15" i="23"/>
  <c r="B15" i="23"/>
  <c r="A15" i="23"/>
  <c r="C14" i="23"/>
  <c r="B14" i="23"/>
  <c r="A14" i="23"/>
  <c r="C13" i="23"/>
  <c r="B13" i="23"/>
  <c r="F13" i="23" s="1"/>
  <c r="A13" i="23"/>
  <c r="C12" i="23"/>
  <c r="B12" i="23"/>
  <c r="F12" i="23" s="1"/>
  <c r="A12" i="23"/>
  <c r="C11" i="23"/>
  <c r="B11" i="23"/>
  <c r="A11" i="23"/>
  <c r="C10" i="23"/>
  <c r="B10" i="23"/>
  <c r="A10" i="23"/>
  <c r="C9" i="23"/>
  <c r="B9" i="23"/>
  <c r="A9" i="23"/>
  <c r="C8" i="23"/>
  <c r="B8" i="23"/>
  <c r="F8" i="23" s="1"/>
  <c r="A8" i="23"/>
  <c r="B5" i="23"/>
  <c r="B4" i="23"/>
  <c r="Q38" i="22"/>
  <c r="O38" i="22"/>
  <c r="N38" i="22"/>
  <c r="R37" i="22"/>
  <c r="P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A37" i="22"/>
  <c r="R36" i="22"/>
  <c r="P36" i="22"/>
  <c r="M36" i="22"/>
  <c r="L36" i="22"/>
  <c r="K36" i="22"/>
  <c r="J36" i="22"/>
  <c r="I36" i="22"/>
  <c r="H36" i="22"/>
  <c r="G36" i="22"/>
  <c r="F36" i="22"/>
  <c r="E36" i="22"/>
  <c r="D36" i="22"/>
  <c r="C36" i="22"/>
  <c r="B36" i="22"/>
  <c r="A36" i="22"/>
  <c r="R35" i="22"/>
  <c r="P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A35" i="22"/>
  <c r="R34" i="22"/>
  <c r="P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A34" i="22"/>
  <c r="R33" i="22"/>
  <c r="P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A33" i="22"/>
  <c r="R32" i="22"/>
  <c r="P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A32" i="22"/>
  <c r="R31" i="22"/>
  <c r="P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A31" i="22"/>
  <c r="R30" i="22"/>
  <c r="P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A30" i="22"/>
  <c r="R29" i="22"/>
  <c r="P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A29" i="22"/>
  <c r="R28" i="22"/>
  <c r="P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A28" i="22"/>
  <c r="R27" i="22"/>
  <c r="P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27" i="22"/>
  <c r="R26" i="22"/>
  <c r="P26" i="22"/>
  <c r="M26" i="22"/>
  <c r="L26" i="22"/>
  <c r="K26" i="22"/>
  <c r="J26" i="22"/>
  <c r="I26" i="22"/>
  <c r="H26" i="22"/>
  <c r="G26" i="22"/>
  <c r="F26" i="22"/>
  <c r="E26" i="22"/>
  <c r="D26" i="22"/>
  <c r="C26" i="22"/>
  <c r="B26" i="22"/>
  <c r="A26" i="22"/>
  <c r="R25" i="22"/>
  <c r="P25" i="22"/>
  <c r="M25" i="22"/>
  <c r="L25" i="22"/>
  <c r="K25" i="22"/>
  <c r="J25" i="22"/>
  <c r="I25" i="22"/>
  <c r="H25" i="22"/>
  <c r="G25" i="22"/>
  <c r="F25" i="22"/>
  <c r="E25" i="22"/>
  <c r="D25" i="22"/>
  <c r="C25" i="22"/>
  <c r="B25" i="22"/>
  <c r="A25" i="22"/>
  <c r="R24" i="22"/>
  <c r="P24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A24" i="22"/>
  <c r="R23" i="22"/>
  <c r="P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A23" i="22"/>
  <c r="C22" i="22"/>
  <c r="B22" i="22"/>
  <c r="F22" i="22" s="1"/>
  <c r="A22" i="22"/>
  <c r="C21" i="22"/>
  <c r="B21" i="22"/>
  <c r="A21" i="22"/>
  <c r="C20" i="22"/>
  <c r="B20" i="22"/>
  <c r="A20" i="22"/>
  <c r="C19" i="22"/>
  <c r="B19" i="22"/>
  <c r="A19" i="22"/>
  <c r="F18" i="22"/>
  <c r="C18" i="22"/>
  <c r="B18" i="22"/>
  <c r="A18" i="22"/>
  <c r="C17" i="22"/>
  <c r="F17" i="22" s="1"/>
  <c r="B17" i="22"/>
  <c r="A17" i="22"/>
  <c r="C16" i="22"/>
  <c r="B16" i="22"/>
  <c r="F16" i="22" s="1"/>
  <c r="A16" i="22"/>
  <c r="C15" i="22"/>
  <c r="B15" i="22"/>
  <c r="F15" i="22" s="1"/>
  <c r="A15" i="22"/>
  <c r="C14" i="22"/>
  <c r="B14" i="22"/>
  <c r="F14" i="22" s="1"/>
  <c r="A14" i="22"/>
  <c r="C13" i="22"/>
  <c r="B13" i="22"/>
  <c r="A13" i="22"/>
  <c r="C12" i="22"/>
  <c r="B12" i="22"/>
  <c r="F12" i="22" s="1"/>
  <c r="A12" i="22"/>
  <c r="C11" i="22"/>
  <c r="B11" i="22"/>
  <c r="A11" i="22"/>
  <c r="C10" i="22"/>
  <c r="B10" i="22"/>
  <c r="A10" i="22"/>
  <c r="C9" i="22"/>
  <c r="B9" i="22"/>
  <c r="A9" i="22"/>
  <c r="C8" i="22"/>
  <c r="B8" i="22"/>
  <c r="A8" i="22"/>
  <c r="B5" i="22"/>
  <c r="B4" i="22"/>
  <c r="Q38" i="21"/>
  <c r="O38" i="21"/>
  <c r="N38" i="21"/>
  <c r="R37" i="21"/>
  <c r="P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R36" i="21"/>
  <c r="P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R35" i="21"/>
  <c r="P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R34" i="21"/>
  <c r="P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R33" i="21"/>
  <c r="P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R32" i="21"/>
  <c r="P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R31" i="21"/>
  <c r="P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R30" i="21"/>
  <c r="P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R29" i="21"/>
  <c r="P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R28" i="21"/>
  <c r="P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R27" i="21"/>
  <c r="P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R26" i="21"/>
  <c r="P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R25" i="21"/>
  <c r="P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R24" i="21"/>
  <c r="P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R23" i="21"/>
  <c r="P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E22" i="21"/>
  <c r="K22" i="21" s="1"/>
  <c r="C22" i="21"/>
  <c r="B22" i="21"/>
  <c r="F22" i="21" s="1"/>
  <c r="A22" i="21"/>
  <c r="C21" i="21"/>
  <c r="B21" i="21"/>
  <c r="A21" i="21"/>
  <c r="C20" i="21"/>
  <c r="B20" i="21"/>
  <c r="F20" i="21" s="1"/>
  <c r="A20" i="21"/>
  <c r="C19" i="21"/>
  <c r="B19" i="21"/>
  <c r="A19" i="21"/>
  <c r="C18" i="21"/>
  <c r="B18" i="21"/>
  <c r="A18" i="21"/>
  <c r="C17" i="21"/>
  <c r="B17" i="21"/>
  <c r="A17" i="21"/>
  <c r="C16" i="21"/>
  <c r="F16" i="21" s="1"/>
  <c r="B16" i="21"/>
  <c r="A16" i="21"/>
  <c r="C15" i="21"/>
  <c r="B15" i="21"/>
  <c r="A15" i="21"/>
  <c r="C14" i="21"/>
  <c r="B14" i="21"/>
  <c r="A14" i="21"/>
  <c r="C13" i="21"/>
  <c r="B13" i="21"/>
  <c r="A13" i="21"/>
  <c r="C12" i="21"/>
  <c r="B12" i="21"/>
  <c r="F12" i="21" s="1"/>
  <c r="A12" i="21"/>
  <c r="C11" i="21"/>
  <c r="B11" i="21"/>
  <c r="A11" i="21"/>
  <c r="C10" i="21"/>
  <c r="B10" i="21"/>
  <c r="A10" i="21"/>
  <c r="C9" i="21"/>
  <c r="B9" i="21"/>
  <c r="A9" i="21"/>
  <c r="C8" i="21"/>
  <c r="B8" i="21"/>
  <c r="F8" i="21" s="1"/>
  <c r="A8" i="21"/>
  <c r="B5" i="21"/>
  <c r="B4" i="21"/>
  <c r="Q38" i="20"/>
  <c r="O38" i="20"/>
  <c r="N38" i="20"/>
  <c r="R37" i="20"/>
  <c r="P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A37" i="20"/>
  <c r="R36" i="20"/>
  <c r="P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A36" i="20"/>
  <c r="R35" i="20"/>
  <c r="P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A35" i="20"/>
  <c r="R34" i="20"/>
  <c r="P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A34" i="20"/>
  <c r="R33" i="20"/>
  <c r="P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A33" i="20"/>
  <c r="R32" i="20"/>
  <c r="P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A32" i="20"/>
  <c r="R31" i="20"/>
  <c r="P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A31" i="20"/>
  <c r="R30" i="20"/>
  <c r="P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A30" i="20"/>
  <c r="R29" i="20"/>
  <c r="P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A29" i="20"/>
  <c r="R28" i="20"/>
  <c r="P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A28" i="20"/>
  <c r="R27" i="20"/>
  <c r="P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27" i="20"/>
  <c r="R26" i="20"/>
  <c r="P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A26" i="20"/>
  <c r="R25" i="20"/>
  <c r="P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A25" i="20"/>
  <c r="R24" i="20"/>
  <c r="P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A24" i="20"/>
  <c r="R23" i="20"/>
  <c r="P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A23" i="20"/>
  <c r="E22" i="20"/>
  <c r="K22" i="20" s="1"/>
  <c r="C22" i="20"/>
  <c r="B22" i="20"/>
  <c r="F22" i="20" s="1"/>
  <c r="A22" i="20"/>
  <c r="C21" i="20"/>
  <c r="B21" i="20"/>
  <c r="A21" i="20"/>
  <c r="C20" i="20"/>
  <c r="B20" i="20"/>
  <c r="F20" i="20" s="1"/>
  <c r="A20" i="20"/>
  <c r="C19" i="20"/>
  <c r="B19" i="20"/>
  <c r="A19" i="20"/>
  <c r="C18" i="20"/>
  <c r="F18" i="20" s="1"/>
  <c r="B18" i="20"/>
  <c r="A18" i="20"/>
  <c r="C17" i="20"/>
  <c r="B17" i="20"/>
  <c r="A17" i="20"/>
  <c r="C16" i="20"/>
  <c r="B16" i="20"/>
  <c r="F16" i="20" s="1"/>
  <c r="A16" i="20"/>
  <c r="C15" i="20"/>
  <c r="B15" i="20"/>
  <c r="A15" i="20"/>
  <c r="C14" i="20"/>
  <c r="B14" i="20"/>
  <c r="A14" i="20"/>
  <c r="C13" i="20"/>
  <c r="B13" i="20"/>
  <c r="A13" i="20"/>
  <c r="C12" i="20"/>
  <c r="B12" i="20"/>
  <c r="A12" i="20"/>
  <c r="C11" i="20"/>
  <c r="F11" i="20" s="1"/>
  <c r="B11" i="20"/>
  <c r="A11" i="20"/>
  <c r="C10" i="20"/>
  <c r="B10" i="20"/>
  <c r="A10" i="20"/>
  <c r="C9" i="20"/>
  <c r="B9" i="20"/>
  <c r="A9" i="20"/>
  <c r="C8" i="20"/>
  <c r="B8" i="20"/>
  <c r="A8" i="20"/>
  <c r="B5" i="20"/>
  <c r="B4" i="20"/>
  <c r="Q38" i="19"/>
  <c r="O38" i="19"/>
  <c r="N38" i="19"/>
  <c r="R37" i="19"/>
  <c r="P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A37" i="19"/>
  <c r="R36" i="19"/>
  <c r="P36" i="19"/>
  <c r="M36" i="19"/>
  <c r="L36" i="19"/>
  <c r="K36" i="19"/>
  <c r="J36" i="19"/>
  <c r="I36" i="19"/>
  <c r="H36" i="19"/>
  <c r="G36" i="19"/>
  <c r="F36" i="19"/>
  <c r="E36" i="19"/>
  <c r="D36" i="19"/>
  <c r="C36" i="19"/>
  <c r="B36" i="19"/>
  <c r="A36" i="19"/>
  <c r="R35" i="19"/>
  <c r="P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A35" i="19"/>
  <c r="R34" i="19"/>
  <c r="P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A34" i="19"/>
  <c r="R33" i="19"/>
  <c r="P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A33" i="19"/>
  <c r="R32" i="19"/>
  <c r="P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A32" i="19"/>
  <c r="R31" i="19"/>
  <c r="P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A31" i="19"/>
  <c r="R30" i="19"/>
  <c r="P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A30" i="19"/>
  <c r="R29" i="19"/>
  <c r="P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A29" i="19"/>
  <c r="R28" i="19"/>
  <c r="P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A28" i="19"/>
  <c r="R27" i="19"/>
  <c r="P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27" i="19"/>
  <c r="R26" i="19"/>
  <c r="P26" i="19"/>
  <c r="M26" i="19"/>
  <c r="L26" i="19"/>
  <c r="K26" i="19"/>
  <c r="J26" i="19"/>
  <c r="I26" i="19"/>
  <c r="H26" i="19"/>
  <c r="G26" i="19"/>
  <c r="F26" i="19"/>
  <c r="E26" i="19"/>
  <c r="D26" i="19"/>
  <c r="C26" i="19"/>
  <c r="B26" i="19"/>
  <c r="A26" i="19"/>
  <c r="R25" i="19"/>
  <c r="P25" i="19"/>
  <c r="M25" i="19"/>
  <c r="L25" i="19"/>
  <c r="K25" i="19"/>
  <c r="J25" i="19"/>
  <c r="I25" i="19"/>
  <c r="H25" i="19"/>
  <c r="G25" i="19"/>
  <c r="F25" i="19"/>
  <c r="E25" i="19"/>
  <c r="D25" i="19"/>
  <c r="C25" i="19"/>
  <c r="B25" i="19"/>
  <c r="A25" i="19"/>
  <c r="R24" i="19"/>
  <c r="P24" i="19"/>
  <c r="M24" i="19"/>
  <c r="L24" i="19"/>
  <c r="K24" i="19"/>
  <c r="J24" i="19"/>
  <c r="I24" i="19"/>
  <c r="H24" i="19"/>
  <c r="G24" i="19"/>
  <c r="F24" i="19"/>
  <c r="E24" i="19"/>
  <c r="D24" i="19"/>
  <c r="C24" i="19"/>
  <c r="B24" i="19"/>
  <c r="A24" i="19"/>
  <c r="R23" i="19"/>
  <c r="P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A23" i="19"/>
  <c r="C22" i="19"/>
  <c r="B22" i="19"/>
  <c r="A22" i="19"/>
  <c r="C21" i="19"/>
  <c r="B21" i="19"/>
  <c r="A21" i="19"/>
  <c r="C20" i="19"/>
  <c r="B20" i="19"/>
  <c r="F20" i="19" s="1"/>
  <c r="A20" i="19"/>
  <c r="C19" i="19"/>
  <c r="B19" i="19"/>
  <c r="A19" i="19"/>
  <c r="C18" i="19"/>
  <c r="B18" i="19"/>
  <c r="A18" i="19"/>
  <c r="C17" i="19"/>
  <c r="B17" i="19"/>
  <c r="F17" i="19" s="1"/>
  <c r="A17" i="19"/>
  <c r="C16" i="19"/>
  <c r="B16" i="19"/>
  <c r="A16" i="19"/>
  <c r="C15" i="19"/>
  <c r="B15" i="19"/>
  <c r="A15" i="19"/>
  <c r="C14" i="19"/>
  <c r="B14" i="19"/>
  <c r="A14" i="19"/>
  <c r="C13" i="19"/>
  <c r="B13" i="19"/>
  <c r="A13" i="19"/>
  <c r="C12" i="19"/>
  <c r="B12" i="19"/>
  <c r="A12" i="19"/>
  <c r="C11" i="19"/>
  <c r="F11" i="19" s="1"/>
  <c r="B11" i="19"/>
  <c r="A11" i="19"/>
  <c r="C10" i="19"/>
  <c r="F10" i="19" s="1"/>
  <c r="B10" i="19"/>
  <c r="A10" i="19"/>
  <c r="C9" i="19"/>
  <c r="B9" i="19"/>
  <c r="A9" i="19"/>
  <c r="C8" i="19"/>
  <c r="B8" i="19"/>
  <c r="A8" i="19"/>
  <c r="B5" i="19"/>
  <c r="B4" i="19"/>
  <c r="Q38" i="18"/>
  <c r="O38" i="18"/>
  <c r="N38" i="18"/>
  <c r="R37" i="18"/>
  <c r="P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A37" i="18"/>
  <c r="R36" i="18"/>
  <c r="P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A36" i="18"/>
  <c r="R35" i="18"/>
  <c r="P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A35" i="18"/>
  <c r="R34" i="18"/>
  <c r="P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A34" i="18"/>
  <c r="R33" i="18"/>
  <c r="P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A33" i="18"/>
  <c r="R32" i="18"/>
  <c r="P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A32" i="18"/>
  <c r="R31" i="18"/>
  <c r="P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A31" i="18"/>
  <c r="R30" i="18"/>
  <c r="P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A30" i="18"/>
  <c r="R29" i="18"/>
  <c r="P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A29" i="18"/>
  <c r="R28" i="18"/>
  <c r="P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A28" i="18"/>
  <c r="R27" i="18"/>
  <c r="P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27" i="18"/>
  <c r="R26" i="18"/>
  <c r="P26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A26" i="18"/>
  <c r="R25" i="18"/>
  <c r="P25" i="18"/>
  <c r="M25" i="18"/>
  <c r="L25" i="18"/>
  <c r="K25" i="18"/>
  <c r="J25" i="18"/>
  <c r="I25" i="18"/>
  <c r="H25" i="18"/>
  <c r="G25" i="18"/>
  <c r="F25" i="18"/>
  <c r="E25" i="18"/>
  <c r="D25" i="18"/>
  <c r="C25" i="18"/>
  <c r="B25" i="18"/>
  <c r="A25" i="18"/>
  <c r="R24" i="18"/>
  <c r="P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A24" i="18"/>
  <c r="R23" i="18"/>
  <c r="P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A23" i="18"/>
  <c r="D22" i="18"/>
  <c r="H22" i="18" s="1"/>
  <c r="C22" i="18"/>
  <c r="B22" i="18"/>
  <c r="F22" i="18" s="1"/>
  <c r="A22" i="18"/>
  <c r="C21" i="18"/>
  <c r="B21" i="18"/>
  <c r="A21" i="18"/>
  <c r="C20" i="18"/>
  <c r="B20" i="18"/>
  <c r="A20" i="18"/>
  <c r="C19" i="18"/>
  <c r="B19" i="18"/>
  <c r="F19" i="18" s="1"/>
  <c r="A19" i="18"/>
  <c r="C18" i="18"/>
  <c r="B18" i="18"/>
  <c r="A18" i="18"/>
  <c r="C17" i="18"/>
  <c r="B17" i="18"/>
  <c r="F17" i="18" s="1"/>
  <c r="A17" i="18"/>
  <c r="C16" i="18"/>
  <c r="B16" i="18"/>
  <c r="A16" i="18"/>
  <c r="C15" i="18"/>
  <c r="B15" i="18"/>
  <c r="A15" i="18"/>
  <c r="C14" i="18"/>
  <c r="B14" i="18"/>
  <c r="A14" i="18"/>
  <c r="C13" i="18"/>
  <c r="B13" i="18"/>
  <c r="F13" i="18" s="1"/>
  <c r="A13" i="18"/>
  <c r="C12" i="18"/>
  <c r="B12" i="18"/>
  <c r="A12" i="18"/>
  <c r="F11" i="18"/>
  <c r="C11" i="18"/>
  <c r="B11" i="18"/>
  <c r="A11" i="18"/>
  <c r="F10" i="18"/>
  <c r="C10" i="18"/>
  <c r="B10" i="18"/>
  <c r="A10" i="18"/>
  <c r="C9" i="18"/>
  <c r="B9" i="18"/>
  <c r="A9" i="18"/>
  <c r="C8" i="18"/>
  <c r="F8" i="18" s="1"/>
  <c r="B8" i="18"/>
  <c r="A8" i="18"/>
  <c r="B5" i="18"/>
  <c r="B4" i="18"/>
  <c r="Q38" i="17"/>
  <c r="O38" i="17"/>
  <c r="N38" i="17"/>
  <c r="R37" i="17"/>
  <c r="P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R36" i="17"/>
  <c r="P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R35" i="17"/>
  <c r="P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R34" i="17"/>
  <c r="P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R33" i="17"/>
  <c r="P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R32" i="17"/>
  <c r="P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R31" i="17"/>
  <c r="P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R30" i="17"/>
  <c r="P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R29" i="17"/>
  <c r="P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R28" i="17"/>
  <c r="P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R27" i="17"/>
  <c r="P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R26" i="17"/>
  <c r="P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R25" i="17"/>
  <c r="P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R24" i="17"/>
  <c r="P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R23" i="17"/>
  <c r="P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F22" i="17"/>
  <c r="C22" i="17"/>
  <c r="B22" i="17"/>
  <c r="A22" i="17"/>
  <c r="C21" i="17"/>
  <c r="B21" i="17"/>
  <c r="F21" i="17" s="1"/>
  <c r="A21" i="17"/>
  <c r="C20" i="17"/>
  <c r="B20" i="17"/>
  <c r="A20" i="17"/>
  <c r="C19" i="17"/>
  <c r="B19" i="17"/>
  <c r="A19" i="17"/>
  <c r="C18" i="17"/>
  <c r="B18" i="17"/>
  <c r="A18" i="17"/>
  <c r="C17" i="17"/>
  <c r="B17" i="17"/>
  <c r="A17" i="17"/>
  <c r="F16" i="17"/>
  <c r="C16" i="17"/>
  <c r="B16" i="17"/>
  <c r="A16" i="17"/>
  <c r="F15" i="17"/>
  <c r="C15" i="17"/>
  <c r="B15" i="17"/>
  <c r="A15" i="17"/>
  <c r="F14" i="17"/>
  <c r="C14" i="17"/>
  <c r="B14" i="17"/>
  <c r="A14" i="17"/>
  <c r="F13" i="17"/>
  <c r="C13" i="17"/>
  <c r="B13" i="17"/>
  <c r="A13" i="17"/>
  <c r="C12" i="17"/>
  <c r="B12" i="17"/>
  <c r="A12" i="17"/>
  <c r="C11" i="17"/>
  <c r="B11" i="17"/>
  <c r="A11" i="17"/>
  <c r="C10" i="17"/>
  <c r="B10" i="17"/>
  <c r="A10" i="17"/>
  <c r="C9" i="17"/>
  <c r="B9" i="17"/>
  <c r="A9" i="17"/>
  <c r="F8" i="17"/>
  <c r="C8" i="17"/>
  <c r="B8" i="17"/>
  <c r="A8" i="17"/>
  <c r="B5" i="17"/>
  <c r="B4" i="17"/>
  <c r="Q38" i="16"/>
  <c r="O38" i="16"/>
  <c r="N38" i="16"/>
  <c r="R37" i="16"/>
  <c r="P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A37" i="16"/>
  <c r="R36" i="16"/>
  <c r="P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A36" i="16"/>
  <c r="R35" i="16"/>
  <c r="P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A35" i="16"/>
  <c r="R34" i="16"/>
  <c r="P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A34" i="16"/>
  <c r="R33" i="16"/>
  <c r="P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A33" i="16"/>
  <c r="R32" i="16"/>
  <c r="P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A32" i="16"/>
  <c r="R31" i="16"/>
  <c r="P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A31" i="16"/>
  <c r="R30" i="16"/>
  <c r="P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A30" i="16"/>
  <c r="R29" i="16"/>
  <c r="P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A29" i="16"/>
  <c r="R28" i="16"/>
  <c r="P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A28" i="16"/>
  <c r="R27" i="16"/>
  <c r="P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27" i="16"/>
  <c r="R26" i="16"/>
  <c r="P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A26" i="16"/>
  <c r="R25" i="16"/>
  <c r="P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A25" i="16"/>
  <c r="R24" i="16"/>
  <c r="P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R23" i="16"/>
  <c r="P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A23" i="16"/>
  <c r="M22" i="16"/>
  <c r="P22" i="16" s="1"/>
  <c r="M22" i="17" s="1"/>
  <c r="P22" i="17" s="1"/>
  <c r="M22" i="18" s="1"/>
  <c r="P22" i="18" s="1"/>
  <c r="M22" i="19" s="1"/>
  <c r="P22" i="19" s="1"/>
  <c r="M22" i="20" s="1"/>
  <c r="P22" i="20" s="1"/>
  <c r="M22" i="21" s="1"/>
  <c r="P22" i="21" s="1"/>
  <c r="M22" i="22" s="1"/>
  <c r="P22" i="22" s="1"/>
  <c r="M22" i="23" s="1"/>
  <c r="P22" i="23" s="1"/>
  <c r="M22" i="24" s="1"/>
  <c r="P22" i="24" s="1"/>
  <c r="M22" i="25" s="1"/>
  <c r="P22" i="25" s="1"/>
  <c r="M22" i="26" s="1"/>
  <c r="P22" i="26" s="1"/>
  <c r="E22" i="16"/>
  <c r="K22" i="16" s="1"/>
  <c r="C22" i="16"/>
  <c r="B22" i="16"/>
  <c r="F22" i="16" s="1"/>
  <c r="A22" i="16"/>
  <c r="C21" i="16"/>
  <c r="B21" i="16"/>
  <c r="F21" i="16" s="1"/>
  <c r="A21" i="16"/>
  <c r="C20" i="16"/>
  <c r="B20" i="16"/>
  <c r="F20" i="16" s="1"/>
  <c r="A20" i="16"/>
  <c r="C19" i="16"/>
  <c r="F19" i="16" s="1"/>
  <c r="B19" i="16"/>
  <c r="A19" i="16"/>
  <c r="C18" i="16"/>
  <c r="B18" i="16"/>
  <c r="A18" i="16"/>
  <c r="C17" i="16"/>
  <c r="B17" i="16"/>
  <c r="A17" i="16"/>
  <c r="C16" i="16"/>
  <c r="B16" i="16"/>
  <c r="A16" i="16"/>
  <c r="C15" i="16"/>
  <c r="B15" i="16"/>
  <c r="A15" i="16"/>
  <c r="C14" i="16"/>
  <c r="B14" i="16"/>
  <c r="F14" i="16" s="1"/>
  <c r="A14" i="16"/>
  <c r="C13" i="16"/>
  <c r="B13" i="16"/>
  <c r="A13" i="16"/>
  <c r="C12" i="16"/>
  <c r="B12" i="16"/>
  <c r="A12" i="16"/>
  <c r="C11" i="16"/>
  <c r="B11" i="16"/>
  <c r="A11" i="16"/>
  <c r="C10" i="16"/>
  <c r="B10" i="16"/>
  <c r="A10" i="16"/>
  <c r="C9" i="16"/>
  <c r="B9" i="16"/>
  <c r="A9" i="16"/>
  <c r="C8" i="16"/>
  <c r="B8" i="16"/>
  <c r="F8" i="16" s="1"/>
  <c r="A8" i="16"/>
  <c r="B5" i="16"/>
  <c r="B4" i="16"/>
  <c r="Q38" i="15"/>
  <c r="O38" i="15"/>
  <c r="N38" i="15"/>
  <c r="R37" i="15"/>
  <c r="P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R36" i="15"/>
  <c r="P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R35" i="15"/>
  <c r="P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R34" i="15"/>
  <c r="P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R33" i="15"/>
  <c r="P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R32" i="15"/>
  <c r="P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R31" i="15"/>
  <c r="P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R30" i="15"/>
  <c r="P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R29" i="15"/>
  <c r="P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R28" i="15"/>
  <c r="P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R27" i="15"/>
  <c r="P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R26" i="15"/>
  <c r="P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R25" i="15"/>
  <c r="P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R24" i="15"/>
  <c r="P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R23" i="15"/>
  <c r="P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P22" i="15"/>
  <c r="M22" i="15"/>
  <c r="C22" i="15"/>
  <c r="B22" i="15"/>
  <c r="F22" i="15" s="1"/>
  <c r="A22" i="15"/>
  <c r="M21" i="15"/>
  <c r="P21" i="15" s="1"/>
  <c r="M21" i="16" s="1"/>
  <c r="P21" i="16" s="1"/>
  <c r="M21" i="17" s="1"/>
  <c r="P21" i="17" s="1"/>
  <c r="M21" i="18" s="1"/>
  <c r="P21" i="18" s="1"/>
  <c r="M21" i="19" s="1"/>
  <c r="P21" i="19" s="1"/>
  <c r="M21" i="20" s="1"/>
  <c r="P21" i="20" s="1"/>
  <c r="M21" i="21" s="1"/>
  <c r="P21" i="21" s="1"/>
  <c r="M21" i="22" s="1"/>
  <c r="P21" i="22" s="1"/>
  <c r="M21" i="23" s="1"/>
  <c r="P21" i="23" s="1"/>
  <c r="M21" i="24" s="1"/>
  <c r="P21" i="24" s="1"/>
  <c r="M21" i="25" s="1"/>
  <c r="P21" i="25" s="1"/>
  <c r="M21" i="26" s="1"/>
  <c r="P21" i="26" s="1"/>
  <c r="C21" i="15"/>
  <c r="B21" i="15"/>
  <c r="F21" i="15" s="1"/>
  <c r="A21" i="15"/>
  <c r="M20" i="15"/>
  <c r="P20" i="15" s="1"/>
  <c r="M20" i="16" s="1"/>
  <c r="P20" i="16" s="1"/>
  <c r="M20" i="17" s="1"/>
  <c r="P20" i="17" s="1"/>
  <c r="M20" i="18" s="1"/>
  <c r="P20" i="18" s="1"/>
  <c r="M20" i="19" s="1"/>
  <c r="P20" i="19" s="1"/>
  <c r="M20" i="20" s="1"/>
  <c r="P20" i="20" s="1"/>
  <c r="M20" i="21" s="1"/>
  <c r="P20" i="21" s="1"/>
  <c r="M20" i="22" s="1"/>
  <c r="P20" i="22" s="1"/>
  <c r="M20" i="23" s="1"/>
  <c r="P20" i="23" s="1"/>
  <c r="M20" i="24" s="1"/>
  <c r="P20" i="24" s="1"/>
  <c r="M20" i="25" s="1"/>
  <c r="P20" i="25" s="1"/>
  <c r="M20" i="26" s="1"/>
  <c r="P20" i="26" s="1"/>
  <c r="C20" i="15"/>
  <c r="B20" i="15"/>
  <c r="F20" i="15" s="1"/>
  <c r="A20" i="15"/>
  <c r="M19" i="15"/>
  <c r="P19" i="15" s="1"/>
  <c r="M19" i="16" s="1"/>
  <c r="P19" i="16" s="1"/>
  <c r="M19" i="17" s="1"/>
  <c r="P19" i="17" s="1"/>
  <c r="M19" i="18" s="1"/>
  <c r="P19" i="18" s="1"/>
  <c r="M19" i="19" s="1"/>
  <c r="P19" i="19" s="1"/>
  <c r="M19" i="20" s="1"/>
  <c r="P19" i="20" s="1"/>
  <c r="M19" i="21" s="1"/>
  <c r="P19" i="21" s="1"/>
  <c r="M19" i="22" s="1"/>
  <c r="P19" i="22" s="1"/>
  <c r="M19" i="23" s="1"/>
  <c r="P19" i="23" s="1"/>
  <c r="M19" i="24" s="1"/>
  <c r="P19" i="24" s="1"/>
  <c r="M19" i="25" s="1"/>
  <c r="P19" i="25" s="1"/>
  <c r="M19" i="26" s="1"/>
  <c r="P19" i="26" s="1"/>
  <c r="C19" i="15"/>
  <c r="B19" i="15"/>
  <c r="A19" i="15"/>
  <c r="M18" i="15"/>
  <c r="P18" i="15" s="1"/>
  <c r="M18" i="16" s="1"/>
  <c r="P18" i="16" s="1"/>
  <c r="M18" i="17" s="1"/>
  <c r="P18" i="17" s="1"/>
  <c r="M18" i="18" s="1"/>
  <c r="P18" i="18" s="1"/>
  <c r="M18" i="19" s="1"/>
  <c r="P18" i="19" s="1"/>
  <c r="M18" i="20" s="1"/>
  <c r="P18" i="20" s="1"/>
  <c r="M18" i="21" s="1"/>
  <c r="P18" i="21" s="1"/>
  <c r="M18" i="22" s="1"/>
  <c r="P18" i="22" s="1"/>
  <c r="M18" i="23" s="1"/>
  <c r="P18" i="23" s="1"/>
  <c r="M18" i="24" s="1"/>
  <c r="P18" i="24" s="1"/>
  <c r="M18" i="25" s="1"/>
  <c r="P18" i="25" s="1"/>
  <c r="M18" i="26" s="1"/>
  <c r="P18" i="26" s="1"/>
  <c r="C18" i="15"/>
  <c r="B18" i="15"/>
  <c r="A18" i="15"/>
  <c r="M17" i="15"/>
  <c r="P17" i="15" s="1"/>
  <c r="M17" i="16" s="1"/>
  <c r="P17" i="16" s="1"/>
  <c r="M17" i="17" s="1"/>
  <c r="P17" i="17" s="1"/>
  <c r="M17" i="18" s="1"/>
  <c r="P17" i="18" s="1"/>
  <c r="M17" i="19" s="1"/>
  <c r="P17" i="19" s="1"/>
  <c r="M17" i="20" s="1"/>
  <c r="P17" i="20" s="1"/>
  <c r="M17" i="21" s="1"/>
  <c r="P17" i="21" s="1"/>
  <c r="M17" i="22" s="1"/>
  <c r="P17" i="22" s="1"/>
  <c r="M17" i="23" s="1"/>
  <c r="P17" i="23" s="1"/>
  <c r="M17" i="24" s="1"/>
  <c r="P17" i="24" s="1"/>
  <c r="M17" i="25" s="1"/>
  <c r="P17" i="25" s="1"/>
  <c r="M17" i="26" s="1"/>
  <c r="P17" i="26" s="1"/>
  <c r="C17" i="15"/>
  <c r="B17" i="15"/>
  <c r="A17" i="15"/>
  <c r="M16" i="15"/>
  <c r="P16" i="15" s="1"/>
  <c r="M16" i="16" s="1"/>
  <c r="P16" i="16" s="1"/>
  <c r="M16" i="17" s="1"/>
  <c r="P16" i="17" s="1"/>
  <c r="M16" i="18" s="1"/>
  <c r="P16" i="18" s="1"/>
  <c r="M16" i="19" s="1"/>
  <c r="P16" i="19" s="1"/>
  <c r="M16" i="20" s="1"/>
  <c r="P16" i="20" s="1"/>
  <c r="M16" i="21" s="1"/>
  <c r="P16" i="21" s="1"/>
  <c r="M16" i="22" s="1"/>
  <c r="P16" i="22" s="1"/>
  <c r="M16" i="23" s="1"/>
  <c r="P16" i="23" s="1"/>
  <c r="M16" i="24" s="1"/>
  <c r="P16" i="24" s="1"/>
  <c r="M16" i="25" s="1"/>
  <c r="P16" i="25" s="1"/>
  <c r="M16" i="26" s="1"/>
  <c r="P16" i="26" s="1"/>
  <c r="C16" i="15"/>
  <c r="B16" i="15"/>
  <c r="A16" i="15"/>
  <c r="M15" i="15"/>
  <c r="P15" i="15" s="1"/>
  <c r="M15" i="16" s="1"/>
  <c r="P15" i="16" s="1"/>
  <c r="M15" i="17" s="1"/>
  <c r="P15" i="17" s="1"/>
  <c r="M15" i="18" s="1"/>
  <c r="P15" i="18" s="1"/>
  <c r="M15" i="19" s="1"/>
  <c r="P15" i="19" s="1"/>
  <c r="M15" i="20" s="1"/>
  <c r="P15" i="20" s="1"/>
  <c r="M15" i="21" s="1"/>
  <c r="P15" i="21" s="1"/>
  <c r="M15" i="22" s="1"/>
  <c r="P15" i="22" s="1"/>
  <c r="M15" i="23" s="1"/>
  <c r="P15" i="23" s="1"/>
  <c r="M15" i="24" s="1"/>
  <c r="P15" i="24" s="1"/>
  <c r="M15" i="25" s="1"/>
  <c r="P15" i="25" s="1"/>
  <c r="M15" i="26" s="1"/>
  <c r="P15" i="26" s="1"/>
  <c r="F15" i="15"/>
  <c r="C15" i="15"/>
  <c r="B15" i="15"/>
  <c r="A15" i="15"/>
  <c r="M14" i="15"/>
  <c r="P14" i="15" s="1"/>
  <c r="M14" i="16" s="1"/>
  <c r="P14" i="16" s="1"/>
  <c r="M14" i="17" s="1"/>
  <c r="P14" i="17" s="1"/>
  <c r="M14" i="18" s="1"/>
  <c r="P14" i="18" s="1"/>
  <c r="M14" i="19" s="1"/>
  <c r="P14" i="19" s="1"/>
  <c r="M14" i="20" s="1"/>
  <c r="P14" i="20" s="1"/>
  <c r="M14" i="21" s="1"/>
  <c r="P14" i="21" s="1"/>
  <c r="M14" i="22" s="1"/>
  <c r="P14" i="22" s="1"/>
  <c r="M14" i="23" s="1"/>
  <c r="P14" i="23" s="1"/>
  <c r="M14" i="24" s="1"/>
  <c r="P14" i="24" s="1"/>
  <c r="M14" i="25" s="1"/>
  <c r="P14" i="25" s="1"/>
  <c r="M14" i="26" s="1"/>
  <c r="P14" i="26" s="1"/>
  <c r="C14" i="15"/>
  <c r="B14" i="15"/>
  <c r="F14" i="15" s="1"/>
  <c r="A14" i="15"/>
  <c r="P13" i="15"/>
  <c r="M13" i="16" s="1"/>
  <c r="P13" i="16" s="1"/>
  <c r="M13" i="17" s="1"/>
  <c r="P13" i="17" s="1"/>
  <c r="M13" i="18" s="1"/>
  <c r="P13" i="18" s="1"/>
  <c r="M13" i="19" s="1"/>
  <c r="P13" i="19" s="1"/>
  <c r="M13" i="20" s="1"/>
  <c r="P13" i="20" s="1"/>
  <c r="M13" i="21" s="1"/>
  <c r="P13" i="21" s="1"/>
  <c r="M13" i="22" s="1"/>
  <c r="P13" i="22" s="1"/>
  <c r="M13" i="23" s="1"/>
  <c r="P13" i="23" s="1"/>
  <c r="M13" i="24" s="1"/>
  <c r="P13" i="24" s="1"/>
  <c r="M13" i="25" s="1"/>
  <c r="P13" i="25" s="1"/>
  <c r="M13" i="26" s="1"/>
  <c r="P13" i="26" s="1"/>
  <c r="M13" i="15"/>
  <c r="C13" i="15"/>
  <c r="B13" i="15"/>
  <c r="A13" i="15"/>
  <c r="M12" i="15"/>
  <c r="P12" i="15" s="1"/>
  <c r="M12" i="16" s="1"/>
  <c r="P12" i="16" s="1"/>
  <c r="M12" i="17" s="1"/>
  <c r="P12" i="17" s="1"/>
  <c r="M12" i="18" s="1"/>
  <c r="P12" i="18" s="1"/>
  <c r="M12" i="19" s="1"/>
  <c r="P12" i="19" s="1"/>
  <c r="M12" i="20" s="1"/>
  <c r="P12" i="20" s="1"/>
  <c r="M12" i="21" s="1"/>
  <c r="P12" i="21" s="1"/>
  <c r="M12" i="22" s="1"/>
  <c r="P12" i="22" s="1"/>
  <c r="M12" i="23" s="1"/>
  <c r="P12" i="23" s="1"/>
  <c r="M12" i="24" s="1"/>
  <c r="P12" i="24" s="1"/>
  <c r="M12" i="25" s="1"/>
  <c r="P12" i="25" s="1"/>
  <c r="M12" i="26" s="1"/>
  <c r="P12" i="26" s="1"/>
  <c r="C12" i="15"/>
  <c r="B12" i="15"/>
  <c r="A12" i="15"/>
  <c r="M11" i="15"/>
  <c r="P11" i="15" s="1"/>
  <c r="M11" i="16" s="1"/>
  <c r="P11" i="16" s="1"/>
  <c r="M11" i="17" s="1"/>
  <c r="P11" i="17" s="1"/>
  <c r="M11" i="18" s="1"/>
  <c r="P11" i="18" s="1"/>
  <c r="M11" i="19" s="1"/>
  <c r="P11" i="19" s="1"/>
  <c r="M11" i="20" s="1"/>
  <c r="P11" i="20" s="1"/>
  <c r="M11" i="21" s="1"/>
  <c r="P11" i="21" s="1"/>
  <c r="M11" i="22" s="1"/>
  <c r="P11" i="22" s="1"/>
  <c r="M11" i="23" s="1"/>
  <c r="P11" i="23" s="1"/>
  <c r="M11" i="24" s="1"/>
  <c r="P11" i="24" s="1"/>
  <c r="M11" i="25" s="1"/>
  <c r="P11" i="25" s="1"/>
  <c r="M11" i="26" s="1"/>
  <c r="P11" i="26" s="1"/>
  <c r="C11" i="15"/>
  <c r="B11" i="15"/>
  <c r="A11" i="15"/>
  <c r="M10" i="15"/>
  <c r="P10" i="15" s="1"/>
  <c r="M10" i="16" s="1"/>
  <c r="P10" i="16" s="1"/>
  <c r="M10" i="17" s="1"/>
  <c r="P10" i="17" s="1"/>
  <c r="M10" i="18" s="1"/>
  <c r="P10" i="18" s="1"/>
  <c r="M10" i="19" s="1"/>
  <c r="P10" i="19" s="1"/>
  <c r="M10" i="20" s="1"/>
  <c r="P10" i="20" s="1"/>
  <c r="M10" i="21" s="1"/>
  <c r="P10" i="21" s="1"/>
  <c r="M10" i="22" s="1"/>
  <c r="P10" i="22" s="1"/>
  <c r="M10" i="23" s="1"/>
  <c r="P10" i="23" s="1"/>
  <c r="M10" i="24" s="1"/>
  <c r="P10" i="24" s="1"/>
  <c r="M10" i="25" s="1"/>
  <c r="P10" i="25" s="1"/>
  <c r="M10" i="26" s="1"/>
  <c r="P10" i="26" s="1"/>
  <c r="C10" i="15"/>
  <c r="B10" i="15"/>
  <c r="A10" i="15"/>
  <c r="M9" i="15"/>
  <c r="P9" i="15" s="1"/>
  <c r="C9" i="15"/>
  <c r="B9" i="15"/>
  <c r="A9" i="15"/>
  <c r="M8" i="15"/>
  <c r="P8" i="15" s="1"/>
  <c r="M8" i="16" s="1"/>
  <c r="C8" i="15"/>
  <c r="B8" i="15"/>
  <c r="A8" i="15"/>
  <c r="B5" i="15"/>
  <c r="B4" i="15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E21" i="26" s="1"/>
  <c r="K21" i="26" s="1"/>
  <c r="Q40" i="14"/>
  <c r="E20" i="26" s="1"/>
  <c r="K20" i="26" s="1"/>
  <c r="P40" i="14"/>
  <c r="E19" i="26" s="1"/>
  <c r="K19" i="26" s="1"/>
  <c r="O40" i="14"/>
  <c r="E18" i="26" s="1"/>
  <c r="K18" i="26" s="1"/>
  <c r="N40" i="14"/>
  <c r="E17" i="26" s="1"/>
  <c r="K17" i="26" s="1"/>
  <c r="M40" i="14"/>
  <c r="E16" i="26" s="1"/>
  <c r="K16" i="26" s="1"/>
  <c r="L40" i="14"/>
  <c r="E15" i="26" s="1"/>
  <c r="K15" i="26" s="1"/>
  <c r="K40" i="14"/>
  <c r="E14" i="26" s="1"/>
  <c r="K14" i="26" s="1"/>
  <c r="J40" i="14"/>
  <c r="E13" i="26" s="1"/>
  <c r="K13" i="26" s="1"/>
  <c r="I40" i="14"/>
  <c r="E12" i="26" s="1"/>
  <c r="K12" i="26" s="1"/>
  <c r="H40" i="14"/>
  <c r="E11" i="26" s="1"/>
  <c r="K11" i="26" s="1"/>
  <c r="G40" i="14"/>
  <c r="E10" i="26" s="1"/>
  <c r="K10" i="26" s="1"/>
  <c r="F40" i="14"/>
  <c r="E9" i="26" s="1"/>
  <c r="K9" i="26" s="1"/>
  <c r="E40" i="14"/>
  <c r="E8" i="26" s="1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D22" i="26" s="1"/>
  <c r="R39" i="14"/>
  <c r="D21" i="26" s="1"/>
  <c r="Q39" i="14"/>
  <c r="D20" i="26" s="1"/>
  <c r="P39" i="14"/>
  <c r="D19" i="26" s="1"/>
  <c r="O39" i="14"/>
  <c r="D18" i="26" s="1"/>
  <c r="N39" i="14"/>
  <c r="D17" i="26" s="1"/>
  <c r="M39" i="14"/>
  <c r="D16" i="26" s="1"/>
  <c r="L39" i="14"/>
  <c r="D15" i="26" s="1"/>
  <c r="K39" i="14"/>
  <c r="D14" i="26" s="1"/>
  <c r="J39" i="14"/>
  <c r="D13" i="26" s="1"/>
  <c r="I39" i="14"/>
  <c r="D12" i="26" s="1"/>
  <c r="H39" i="14"/>
  <c r="D11" i="26" s="1"/>
  <c r="G39" i="14"/>
  <c r="D10" i="26" s="1"/>
  <c r="F39" i="14"/>
  <c r="D9" i="26" s="1"/>
  <c r="E39" i="14"/>
  <c r="D8" i="26" s="1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B3" i="14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E22" i="25" s="1"/>
  <c r="K22" i="25" s="1"/>
  <c r="R39" i="13"/>
  <c r="E21" i="25" s="1"/>
  <c r="K21" i="25" s="1"/>
  <c r="Q39" i="13"/>
  <c r="E20" i="25" s="1"/>
  <c r="K20" i="25" s="1"/>
  <c r="P39" i="13"/>
  <c r="E19" i="25" s="1"/>
  <c r="K19" i="25" s="1"/>
  <c r="O39" i="13"/>
  <c r="E18" i="25" s="1"/>
  <c r="K18" i="25" s="1"/>
  <c r="N39" i="13"/>
  <c r="E17" i="25" s="1"/>
  <c r="K17" i="25" s="1"/>
  <c r="M39" i="13"/>
  <c r="E16" i="25" s="1"/>
  <c r="K16" i="25" s="1"/>
  <c r="L39" i="13"/>
  <c r="E15" i="25" s="1"/>
  <c r="K15" i="25" s="1"/>
  <c r="K39" i="13"/>
  <c r="E14" i="25" s="1"/>
  <c r="K14" i="25" s="1"/>
  <c r="J39" i="13"/>
  <c r="E13" i="25" s="1"/>
  <c r="K13" i="25" s="1"/>
  <c r="I39" i="13"/>
  <c r="E12" i="25" s="1"/>
  <c r="K12" i="25" s="1"/>
  <c r="H39" i="13"/>
  <c r="E11" i="25" s="1"/>
  <c r="K11" i="25" s="1"/>
  <c r="G39" i="13"/>
  <c r="E10" i="25" s="1"/>
  <c r="K10" i="25" s="1"/>
  <c r="F39" i="13"/>
  <c r="E9" i="25" s="1"/>
  <c r="K9" i="25" s="1"/>
  <c r="E39" i="13"/>
  <c r="E8" i="25" s="1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D22" i="25" s="1"/>
  <c r="R38" i="13"/>
  <c r="D21" i="25" s="1"/>
  <c r="Q38" i="13"/>
  <c r="D20" i="25" s="1"/>
  <c r="P38" i="13"/>
  <c r="D19" i="25" s="1"/>
  <c r="O38" i="13"/>
  <c r="D18" i="25" s="1"/>
  <c r="N38" i="13"/>
  <c r="D17" i="25" s="1"/>
  <c r="M38" i="13"/>
  <c r="D16" i="25" s="1"/>
  <c r="L38" i="13"/>
  <c r="D15" i="25" s="1"/>
  <c r="K38" i="13"/>
  <c r="D14" i="25" s="1"/>
  <c r="J38" i="13"/>
  <c r="D13" i="25" s="1"/>
  <c r="I38" i="13"/>
  <c r="D12" i="25" s="1"/>
  <c r="H38" i="13"/>
  <c r="D11" i="25" s="1"/>
  <c r="G38" i="13"/>
  <c r="D10" i="25" s="1"/>
  <c r="F38" i="13"/>
  <c r="D9" i="25" s="1"/>
  <c r="E38" i="13"/>
  <c r="D8" i="25" s="1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B3" i="13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E22" i="24" s="1"/>
  <c r="K22" i="24" s="1"/>
  <c r="R40" i="12"/>
  <c r="E21" i="24" s="1"/>
  <c r="K21" i="24" s="1"/>
  <c r="Q40" i="12"/>
  <c r="E20" i="24" s="1"/>
  <c r="K20" i="24" s="1"/>
  <c r="P40" i="12"/>
  <c r="E19" i="24" s="1"/>
  <c r="K19" i="24" s="1"/>
  <c r="O40" i="12"/>
  <c r="E18" i="24" s="1"/>
  <c r="K18" i="24" s="1"/>
  <c r="N40" i="12"/>
  <c r="E17" i="24" s="1"/>
  <c r="K17" i="24" s="1"/>
  <c r="M40" i="12"/>
  <c r="E16" i="24" s="1"/>
  <c r="K16" i="24" s="1"/>
  <c r="L40" i="12"/>
  <c r="E15" i="24" s="1"/>
  <c r="K15" i="24" s="1"/>
  <c r="K40" i="12"/>
  <c r="E14" i="24" s="1"/>
  <c r="K14" i="24" s="1"/>
  <c r="J40" i="12"/>
  <c r="E13" i="24" s="1"/>
  <c r="K13" i="24" s="1"/>
  <c r="I40" i="12"/>
  <c r="E12" i="24" s="1"/>
  <c r="K12" i="24" s="1"/>
  <c r="H40" i="12"/>
  <c r="E11" i="24" s="1"/>
  <c r="K11" i="24" s="1"/>
  <c r="G40" i="12"/>
  <c r="E10" i="24" s="1"/>
  <c r="K10" i="24" s="1"/>
  <c r="F40" i="12"/>
  <c r="E9" i="24" s="1"/>
  <c r="K9" i="24" s="1"/>
  <c r="E40" i="12"/>
  <c r="E8" i="24" s="1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D22" i="24" s="1"/>
  <c r="R39" i="12"/>
  <c r="D21" i="24" s="1"/>
  <c r="Q39" i="12"/>
  <c r="D20" i="24" s="1"/>
  <c r="P39" i="12"/>
  <c r="D19" i="24" s="1"/>
  <c r="O39" i="12"/>
  <c r="D18" i="24" s="1"/>
  <c r="N39" i="12"/>
  <c r="D17" i="24" s="1"/>
  <c r="M39" i="12"/>
  <c r="D16" i="24" s="1"/>
  <c r="L39" i="12"/>
  <c r="D15" i="24" s="1"/>
  <c r="K39" i="12"/>
  <c r="D14" i="24" s="1"/>
  <c r="J39" i="12"/>
  <c r="D13" i="24" s="1"/>
  <c r="I39" i="12"/>
  <c r="D12" i="24" s="1"/>
  <c r="H39" i="12"/>
  <c r="D11" i="24" s="1"/>
  <c r="G39" i="12"/>
  <c r="D10" i="24" s="1"/>
  <c r="G10" i="24" s="1"/>
  <c r="F39" i="12"/>
  <c r="D9" i="24" s="1"/>
  <c r="E39" i="12"/>
  <c r="D8" i="24" s="1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B3" i="12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E22" i="23" s="1"/>
  <c r="K22" i="23" s="1"/>
  <c r="R39" i="11"/>
  <c r="E21" i="23" s="1"/>
  <c r="K21" i="23" s="1"/>
  <c r="Q39" i="11"/>
  <c r="E20" i="23" s="1"/>
  <c r="K20" i="23" s="1"/>
  <c r="P39" i="11"/>
  <c r="E19" i="23" s="1"/>
  <c r="K19" i="23" s="1"/>
  <c r="O39" i="11"/>
  <c r="E18" i="23" s="1"/>
  <c r="K18" i="23" s="1"/>
  <c r="N39" i="11"/>
  <c r="E17" i="23" s="1"/>
  <c r="K17" i="23" s="1"/>
  <c r="M39" i="11"/>
  <c r="E16" i="23" s="1"/>
  <c r="K16" i="23" s="1"/>
  <c r="L39" i="11"/>
  <c r="E15" i="23" s="1"/>
  <c r="K15" i="23" s="1"/>
  <c r="K39" i="11"/>
  <c r="E14" i="23" s="1"/>
  <c r="K14" i="23" s="1"/>
  <c r="J39" i="11"/>
  <c r="E13" i="23" s="1"/>
  <c r="K13" i="23" s="1"/>
  <c r="I39" i="11"/>
  <c r="E12" i="23" s="1"/>
  <c r="K12" i="23" s="1"/>
  <c r="H39" i="11"/>
  <c r="E11" i="23" s="1"/>
  <c r="K11" i="23" s="1"/>
  <c r="G39" i="11"/>
  <c r="E10" i="23" s="1"/>
  <c r="K10" i="23" s="1"/>
  <c r="F39" i="11"/>
  <c r="E9" i="23" s="1"/>
  <c r="K9" i="23" s="1"/>
  <c r="E39" i="11"/>
  <c r="E8" i="23" s="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D21" i="23" s="1"/>
  <c r="Q38" i="11"/>
  <c r="D20" i="23" s="1"/>
  <c r="P38" i="11"/>
  <c r="D19" i="23" s="1"/>
  <c r="O38" i="11"/>
  <c r="D18" i="23" s="1"/>
  <c r="N38" i="11"/>
  <c r="D17" i="23" s="1"/>
  <c r="M38" i="11"/>
  <c r="D16" i="23" s="1"/>
  <c r="L38" i="11"/>
  <c r="D15" i="23" s="1"/>
  <c r="K38" i="11"/>
  <c r="D14" i="23" s="1"/>
  <c r="J38" i="11"/>
  <c r="D13" i="23" s="1"/>
  <c r="I38" i="11"/>
  <c r="D12" i="23" s="1"/>
  <c r="H38" i="11"/>
  <c r="D11" i="23" s="1"/>
  <c r="G38" i="11"/>
  <c r="D10" i="23" s="1"/>
  <c r="F38" i="11"/>
  <c r="D9" i="23" s="1"/>
  <c r="E38" i="11"/>
  <c r="D8" i="23" s="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B3" i="11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E22" i="22" s="1"/>
  <c r="K22" i="22" s="1"/>
  <c r="R40" i="10"/>
  <c r="E21" i="22" s="1"/>
  <c r="K21" i="22" s="1"/>
  <c r="Q40" i="10"/>
  <c r="E20" i="22" s="1"/>
  <c r="K20" i="22" s="1"/>
  <c r="P40" i="10"/>
  <c r="E19" i="22" s="1"/>
  <c r="K19" i="22" s="1"/>
  <c r="O40" i="10"/>
  <c r="E18" i="22" s="1"/>
  <c r="K18" i="22" s="1"/>
  <c r="N40" i="10"/>
  <c r="E17" i="22" s="1"/>
  <c r="K17" i="22" s="1"/>
  <c r="M40" i="10"/>
  <c r="E16" i="22" s="1"/>
  <c r="K16" i="22" s="1"/>
  <c r="L40" i="10"/>
  <c r="E15" i="22" s="1"/>
  <c r="K15" i="22" s="1"/>
  <c r="K40" i="10"/>
  <c r="E14" i="22" s="1"/>
  <c r="K14" i="22" s="1"/>
  <c r="J40" i="10"/>
  <c r="E13" i="22" s="1"/>
  <c r="K13" i="22" s="1"/>
  <c r="I40" i="10"/>
  <c r="E12" i="22" s="1"/>
  <c r="K12" i="22" s="1"/>
  <c r="H40" i="10"/>
  <c r="E11" i="22" s="1"/>
  <c r="K11" i="22" s="1"/>
  <c r="G40" i="10"/>
  <c r="E10" i="22" s="1"/>
  <c r="K10" i="22" s="1"/>
  <c r="F40" i="10"/>
  <c r="E9" i="22" s="1"/>
  <c r="K9" i="22" s="1"/>
  <c r="E40" i="10"/>
  <c r="E8" i="22" s="1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D22" i="22" s="1"/>
  <c r="R39" i="10"/>
  <c r="D21" i="22" s="1"/>
  <c r="Q39" i="10"/>
  <c r="D20" i="22" s="1"/>
  <c r="P39" i="10"/>
  <c r="D19" i="22" s="1"/>
  <c r="O39" i="10"/>
  <c r="D18" i="22" s="1"/>
  <c r="N39" i="10"/>
  <c r="D17" i="22" s="1"/>
  <c r="M39" i="10"/>
  <c r="D16" i="22" s="1"/>
  <c r="L39" i="10"/>
  <c r="D15" i="22" s="1"/>
  <c r="K39" i="10"/>
  <c r="D14" i="22" s="1"/>
  <c r="G14" i="22" s="1"/>
  <c r="J39" i="10"/>
  <c r="D13" i="22" s="1"/>
  <c r="I39" i="10"/>
  <c r="D12" i="22" s="1"/>
  <c r="H39" i="10"/>
  <c r="D11" i="22" s="1"/>
  <c r="G39" i="10"/>
  <c r="D10" i="22" s="1"/>
  <c r="G10" i="22" s="1"/>
  <c r="F39" i="10"/>
  <c r="D9" i="22" s="1"/>
  <c r="E39" i="10"/>
  <c r="D8" i="22" s="1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B3" i="10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E21" i="21" s="1"/>
  <c r="K21" i="21" s="1"/>
  <c r="Q40" i="9"/>
  <c r="E20" i="21" s="1"/>
  <c r="K20" i="21" s="1"/>
  <c r="P40" i="9"/>
  <c r="E19" i="21" s="1"/>
  <c r="K19" i="21" s="1"/>
  <c r="O40" i="9"/>
  <c r="E18" i="21" s="1"/>
  <c r="K18" i="21" s="1"/>
  <c r="N40" i="9"/>
  <c r="E17" i="21" s="1"/>
  <c r="K17" i="21" s="1"/>
  <c r="M40" i="9"/>
  <c r="E16" i="21" s="1"/>
  <c r="K16" i="21" s="1"/>
  <c r="L40" i="9"/>
  <c r="E15" i="21" s="1"/>
  <c r="K15" i="21" s="1"/>
  <c r="K40" i="9"/>
  <c r="E14" i="21" s="1"/>
  <c r="K14" i="21" s="1"/>
  <c r="J40" i="9"/>
  <c r="E13" i="21" s="1"/>
  <c r="K13" i="21" s="1"/>
  <c r="I40" i="9"/>
  <c r="E12" i="21" s="1"/>
  <c r="K12" i="21" s="1"/>
  <c r="H40" i="9"/>
  <c r="E11" i="21" s="1"/>
  <c r="K11" i="21" s="1"/>
  <c r="G40" i="9"/>
  <c r="E10" i="21" s="1"/>
  <c r="K10" i="21" s="1"/>
  <c r="F40" i="9"/>
  <c r="E9" i="21" s="1"/>
  <c r="K9" i="21" s="1"/>
  <c r="E40" i="9"/>
  <c r="E8" i="21" s="1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D22" i="21" s="1"/>
  <c r="R39" i="9"/>
  <c r="D21" i="21" s="1"/>
  <c r="Q39" i="9"/>
  <c r="D20" i="21" s="1"/>
  <c r="P39" i="9"/>
  <c r="D19" i="21" s="1"/>
  <c r="O39" i="9"/>
  <c r="D18" i="21" s="1"/>
  <c r="N39" i="9"/>
  <c r="D17" i="21" s="1"/>
  <c r="M39" i="9"/>
  <c r="D16" i="21" s="1"/>
  <c r="L39" i="9"/>
  <c r="D15" i="21" s="1"/>
  <c r="K39" i="9"/>
  <c r="D14" i="21" s="1"/>
  <c r="J39" i="9"/>
  <c r="D13" i="21" s="1"/>
  <c r="I39" i="9"/>
  <c r="D12" i="21" s="1"/>
  <c r="H39" i="9"/>
  <c r="D11" i="21" s="1"/>
  <c r="G39" i="9"/>
  <c r="D10" i="21" s="1"/>
  <c r="F39" i="9"/>
  <c r="D9" i="21" s="1"/>
  <c r="E39" i="9"/>
  <c r="D8" i="21" s="1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B3" i="9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E21" i="20" s="1"/>
  <c r="K21" i="20" s="1"/>
  <c r="Q39" i="8"/>
  <c r="E20" i="20" s="1"/>
  <c r="K20" i="20" s="1"/>
  <c r="P39" i="8"/>
  <c r="E19" i="20" s="1"/>
  <c r="K19" i="20" s="1"/>
  <c r="O39" i="8"/>
  <c r="E18" i="20" s="1"/>
  <c r="K18" i="20" s="1"/>
  <c r="N39" i="8"/>
  <c r="E17" i="20" s="1"/>
  <c r="K17" i="20" s="1"/>
  <c r="M39" i="8"/>
  <c r="E16" i="20" s="1"/>
  <c r="K16" i="20" s="1"/>
  <c r="L39" i="8"/>
  <c r="E15" i="20" s="1"/>
  <c r="K15" i="20" s="1"/>
  <c r="K39" i="8"/>
  <c r="E14" i="20" s="1"/>
  <c r="K14" i="20" s="1"/>
  <c r="J39" i="8"/>
  <c r="E13" i="20" s="1"/>
  <c r="K13" i="20" s="1"/>
  <c r="I39" i="8"/>
  <c r="E12" i="20" s="1"/>
  <c r="K12" i="20" s="1"/>
  <c r="H39" i="8"/>
  <c r="E11" i="20" s="1"/>
  <c r="K11" i="20" s="1"/>
  <c r="G39" i="8"/>
  <c r="E10" i="20" s="1"/>
  <c r="K10" i="20" s="1"/>
  <c r="F39" i="8"/>
  <c r="E9" i="20" s="1"/>
  <c r="K9" i="20" s="1"/>
  <c r="E39" i="8"/>
  <c r="E8" i="20" s="1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D22" i="20" s="1"/>
  <c r="R38" i="8"/>
  <c r="D21" i="20" s="1"/>
  <c r="Q38" i="8"/>
  <c r="D20" i="20" s="1"/>
  <c r="P38" i="8"/>
  <c r="D19" i="20" s="1"/>
  <c r="H19" i="20" s="1"/>
  <c r="O38" i="8"/>
  <c r="D18" i="20" s="1"/>
  <c r="N38" i="8"/>
  <c r="D17" i="20" s="1"/>
  <c r="M38" i="8"/>
  <c r="D16" i="20" s="1"/>
  <c r="L38" i="8"/>
  <c r="D15" i="20" s="1"/>
  <c r="K38" i="8"/>
  <c r="D14" i="20" s="1"/>
  <c r="J38" i="8"/>
  <c r="D13" i="20" s="1"/>
  <c r="I38" i="8"/>
  <c r="D12" i="20" s="1"/>
  <c r="H38" i="8"/>
  <c r="D11" i="20" s="1"/>
  <c r="G38" i="8"/>
  <c r="D10" i="20" s="1"/>
  <c r="F38" i="8"/>
  <c r="D9" i="20" s="1"/>
  <c r="E38" i="8"/>
  <c r="D8" i="20" s="1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I6" i="8"/>
  <c r="H6" i="8"/>
  <c r="G6" i="8"/>
  <c r="F6" i="8"/>
  <c r="E6" i="8"/>
  <c r="B3" i="8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E22" i="19" s="1"/>
  <c r="K22" i="19" s="1"/>
  <c r="R40" i="7"/>
  <c r="E21" i="19" s="1"/>
  <c r="K21" i="19" s="1"/>
  <c r="Q40" i="7"/>
  <c r="E20" i="19" s="1"/>
  <c r="K20" i="19" s="1"/>
  <c r="P40" i="7"/>
  <c r="E19" i="19" s="1"/>
  <c r="K19" i="19" s="1"/>
  <c r="O40" i="7"/>
  <c r="E18" i="19" s="1"/>
  <c r="K18" i="19" s="1"/>
  <c r="N40" i="7"/>
  <c r="E17" i="19" s="1"/>
  <c r="K17" i="19" s="1"/>
  <c r="M40" i="7"/>
  <c r="E16" i="19" s="1"/>
  <c r="K16" i="19" s="1"/>
  <c r="L40" i="7"/>
  <c r="E15" i="19" s="1"/>
  <c r="K15" i="19" s="1"/>
  <c r="K40" i="7"/>
  <c r="E14" i="19" s="1"/>
  <c r="K14" i="19" s="1"/>
  <c r="J40" i="7"/>
  <c r="E13" i="19" s="1"/>
  <c r="K13" i="19" s="1"/>
  <c r="I40" i="7"/>
  <c r="E12" i="19" s="1"/>
  <c r="K12" i="19" s="1"/>
  <c r="H40" i="7"/>
  <c r="E11" i="19" s="1"/>
  <c r="K11" i="19" s="1"/>
  <c r="G40" i="7"/>
  <c r="E10" i="19" s="1"/>
  <c r="K10" i="19" s="1"/>
  <c r="F40" i="7"/>
  <c r="E9" i="19" s="1"/>
  <c r="K9" i="19" s="1"/>
  <c r="E40" i="7"/>
  <c r="E8" i="19" s="1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D22" i="19" s="1"/>
  <c r="R39" i="7"/>
  <c r="D21" i="19" s="1"/>
  <c r="Q39" i="7"/>
  <c r="D20" i="19" s="1"/>
  <c r="H20" i="19" s="1"/>
  <c r="P39" i="7"/>
  <c r="D19" i="19" s="1"/>
  <c r="O39" i="7"/>
  <c r="D18" i="19" s="1"/>
  <c r="N39" i="7"/>
  <c r="D17" i="19" s="1"/>
  <c r="M39" i="7"/>
  <c r="D16" i="19" s="1"/>
  <c r="L39" i="7"/>
  <c r="D15" i="19" s="1"/>
  <c r="K39" i="7"/>
  <c r="D14" i="19" s="1"/>
  <c r="J39" i="7"/>
  <c r="D13" i="19" s="1"/>
  <c r="I39" i="7"/>
  <c r="D12" i="19" s="1"/>
  <c r="H39" i="7"/>
  <c r="D11" i="19" s="1"/>
  <c r="G39" i="7"/>
  <c r="D10" i="19" s="1"/>
  <c r="F39" i="7"/>
  <c r="D9" i="19" s="1"/>
  <c r="E39" i="7"/>
  <c r="D8" i="19" s="1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B3" i="7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E22" i="18" s="1"/>
  <c r="K22" i="18" s="1"/>
  <c r="R39" i="6"/>
  <c r="E21" i="18" s="1"/>
  <c r="K21" i="18" s="1"/>
  <c r="Q39" i="6"/>
  <c r="E20" i="18" s="1"/>
  <c r="K20" i="18" s="1"/>
  <c r="P39" i="6"/>
  <c r="E19" i="18" s="1"/>
  <c r="K19" i="18" s="1"/>
  <c r="O39" i="6"/>
  <c r="E18" i="18" s="1"/>
  <c r="K18" i="18" s="1"/>
  <c r="N39" i="6"/>
  <c r="E17" i="18" s="1"/>
  <c r="K17" i="18" s="1"/>
  <c r="M39" i="6"/>
  <c r="E16" i="18" s="1"/>
  <c r="K16" i="18" s="1"/>
  <c r="L39" i="6"/>
  <c r="E15" i="18" s="1"/>
  <c r="K15" i="18" s="1"/>
  <c r="K39" i="6"/>
  <c r="E14" i="18" s="1"/>
  <c r="K14" i="18" s="1"/>
  <c r="J39" i="6"/>
  <c r="E13" i="18" s="1"/>
  <c r="K13" i="18" s="1"/>
  <c r="I39" i="6"/>
  <c r="E12" i="18" s="1"/>
  <c r="K12" i="18" s="1"/>
  <c r="H39" i="6"/>
  <c r="E11" i="18" s="1"/>
  <c r="K11" i="18" s="1"/>
  <c r="G39" i="6"/>
  <c r="E10" i="18" s="1"/>
  <c r="K10" i="18" s="1"/>
  <c r="F39" i="6"/>
  <c r="E9" i="18" s="1"/>
  <c r="K9" i="18" s="1"/>
  <c r="E39" i="6"/>
  <c r="E8" i="18" s="1"/>
  <c r="K8" i="18" s="1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D21" i="18" s="1"/>
  <c r="G21" i="18" s="1"/>
  <c r="Q38" i="6"/>
  <c r="D20" i="18" s="1"/>
  <c r="H20" i="18" s="1"/>
  <c r="P38" i="6"/>
  <c r="D19" i="18" s="1"/>
  <c r="O38" i="6"/>
  <c r="D18" i="18" s="1"/>
  <c r="N38" i="6"/>
  <c r="D17" i="18" s="1"/>
  <c r="M38" i="6"/>
  <c r="D16" i="18" s="1"/>
  <c r="L38" i="6"/>
  <c r="D15" i="18" s="1"/>
  <c r="K38" i="6"/>
  <c r="D14" i="18" s="1"/>
  <c r="J38" i="6"/>
  <c r="D13" i="18" s="1"/>
  <c r="G13" i="18" s="1"/>
  <c r="I38" i="6"/>
  <c r="D12" i="18" s="1"/>
  <c r="H12" i="18" s="1"/>
  <c r="H38" i="6"/>
  <c r="D11" i="18" s="1"/>
  <c r="G38" i="6"/>
  <c r="D10" i="18" s="1"/>
  <c r="F38" i="6"/>
  <c r="D9" i="18" s="1"/>
  <c r="E38" i="6"/>
  <c r="D8" i="18" s="1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B3" i="6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E22" i="17" s="1"/>
  <c r="K22" i="17" s="1"/>
  <c r="R40" i="5"/>
  <c r="E21" i="17" s="1"/>
  <c r="K21" i="17" s="1"/>
  <c r="Q40" i="5"/>
  <c r="E20" i="17" s="1"/>
  <c r="K20" i="17" s="1"/>
  <c r="P40" i="5"/>
  <c r="E19" i="17" s="1"/>
  <c r="K19" i="17" s="1"/>
  <c r="O40" i="5"/>
  <c r="E18" i="17" s="1"/>
  <c r="K18" i="17" s="1"/>
  <c r="N40" i="5"/>
  <c r="E17" i="17" s="1"/>
  <c r="K17" i="17" s="1"/>
  <c r="M40" i="5"/>
  <c r="E16" i="17" s="1"/>
  <c r="K16" i="17" s="1"/>
  <c r="L40" i="5"/>
  <c r="E15" i="17" s="1"/>
  <c r="K15" i="17" s="1"/>
  <c r="K40" i="5"/>
  <c r="E14" i="17" s="1"/>
  <c r="K14" i="17" s="1"/>
  <c r="J40" i="5"/>
  <c r="E13" i="17" s="1"/>
  <c r="K13" i="17" s="1"/>
  <c r="I40" i="5"/>
  <c r="E12" i="17" s="1"/>
  <c r="K12" i="17" s="1"/>
  <c r="H40" i="5"/>
  <c r="E11" i="17" s="1"/>
  <c r="K11" i="17" s="1"/>
  <c r="G40" i="5"/>
  <c r="E10" i="17" s="1"/>
  <c r="K10" i="17" s="1"/>
  <c r="F40" i="5"/>
  <c r="E9" i="17" s="1"/>
  <c r="K9" i="17" s="1"/>
  <c r="E40" i="5"/>
  <c r="E8" i="17" s="1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D22" i="17" s="1"/>
  <c r="R39" i="5"/>
  <c r="D21" i="17" s="1"/>
  <c r="Q39" i="5"/>
  <c r="D20" i="17" s="1"/>
  <c r="P39" i="5"/>
  <c r="D19" i="17" s="1"/>
  <c r="O39" i="5"/>
  <c r="D18" i="17" s="1"/>
  <c r="G18" i="17" s="1"/>
  <c r="N39" i="5"/>
  <c r="D17" i="17" s="1"/>
  <c r="H17" i="17" s="1"/>
  <c r="M39" i="5"/>
  <c r="D16" i="17" s="1"/>
  <c r="L39" i="5"/>
  <c r="D15" i="17" s="1"/>
  <c r="K39" i="5"/>
  <c r="D14" i="17" s="1"/>
  <c r="J39" i="5"/>
  <c r="D13" i="17" s="1"/>
  <c r="I39" i="5"/>
  <c r="D12" i="17" s="1"/>
  <c r="H39" i="5"/>
  <c r="D11" i="17" s="1"/>
  <c r="G39" i="5"/>
  <c r="D10" i="17" s="1"/>
  <c r="G10" i="17" s="1"/>
  <c r="F39" i="5"/>
  <c r="D9" i="17" s="1"/>
  <c r="H9" i="17" s="1"/>
  <c r="E39" i="5"/>
  <c r="D8" i="17" s="1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B3" i="5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E21" i="16" s="1"/>
  <c r="K21" i="16" s="1"/>
  <c r="Q37" i="4"/>
  <c r="E20" i="16" s="1"/>
  <c r="K20" i="16" s="1"/>
  <c r="P37" i="4"/>
  <c r="E19" i="16" s="1"/>
  <c r="K19" i="16" s="1"/>
  <c r="O37" i="4"/>
  <c r="E18" i="16" s="1"/>
  <c r="K18" i="16" s="1"/>
  <c r="N37" i="4"/>
  <c r="E17" i="16" s="1"/>
  <c r="K17" i="16" s="1"/>
  <c r="M37" i="4"/>
  <c r="E16" i="16" s="1"/>
  <c r="K16" i="16" s="1"/>
  <c r="L37" i="4"/>
  <c r="E15" i="16" s="1"/>
  <c r="K15" i="16" s="1"/>
  <c r="K37" i="4"/>
  <c r="E14" i="16" s="1"/>
  <c r="K14" i="16" s="1"/>
  <c r="J37" i="4"/>
  <c r="E13" i="16" s="1"/>
  <c r="K13" i="16" s="1"/>
  <c r="I37" i="4"/>
  <c r="E12" i="16" s="1"/>
  <c r="K12" i="16" s="1"/>
  <c r="H37" i="4"/>
  <c r="E11" i="16" s="1"/>
  <c r="K11" i="16" s="1"/>
  <c r="G37" i="4"/>
  <c r="E10" i="16" s="1"/>
  <c r="K10" i="16" s="1"/>
  <c r="F37" i="4"/>
  <c r="E9" i="16" s="1"/>
  <c r="K9" i="16" s="1"/>
  <c r="E37" i="4"/>
  <c r="E8" i="16" s="1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D22" i="16" s="1"/>
  <c r="R36" i="4"/>
  <c r="D21" i="16" s="1"/>
  <c r="H21" i="16" s="1"/>
  <c r="Q36" i="4"/>
  <c r="D20" i="16" s="1"/>
  <c r="G20" i="16" s="1"/>
  <c r="P36" i="4"/>
  <c r="D19" i="16" s="1"/>
  <c r="O36" i="4"/>
  <c r="D18" i="16" s="1"/>
  <c r="N36" i="4"/>
  <c r="D17" i="16" s="1"/>
  <c r="M36" i="4"/>
  <c r="D16" i="16" s="1"/>
  <c r="L36" i="4"/>
  <c r="D15" i="16" s="1"/>
  <c r="K36" i="4"/>
  <c r="D14" i="16" s="1"/>
  <c r="J36" i="4"/>
  <c r="D13" i="16" s="1"/>
  <c r="I36" i="4"/>
  <c r="D12" i="16" s="1"/>
  <c r="H36" i="4"/>
  <c r="D11" i="16" s="1"/>
  <c r="G36" i="4"/>
  <c r="D10" i="16" s="1"/>
  <c r="F36" i="4"/>
  <c r="D9" i="16" s="1"/>
  <c r="E36" i="4"/>
  <c r="D8" i="16" s="1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B3" i="4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E22" i="15" s="1"/>
  <c r="K22" i="15" s="1"/>
  <c r="R40" i="3"/>
  <c r="E21" i="15" s="1"/>
  <c r="K21" i="15" s="1"/>
  <c r="Q40" i="3"/>
  <c r="E20" i="15" s="1"/>
  <c r="K20" i="15" s="1"/>
  <c r="P40" i="3"/>
  <c r="E19" i="15" s="1"/>
  <c r="K19" i="15" s="1"/>
  <c r="O40" i="3"/>
  <c r="E18" i="15" s="1"/>
  <c r="K18" i="15" s="1"/>
  <c r="N40" i="3"/>
  <c r="E17" i="15" s="1"/>
  <c r="K17" i="15" s="1"/>
  <c r="M40" i="3"/>
  <c r="E16" i="15" s="1"/>
  <c r="K16" i="15" s="1"/>
  <c r="L40" i="3"/>
  <c r="E15" i="15" s="1"/>
  <c r="K15" i="15" s="1"/>
  <c r="K40" i="3"/>
  <c r="E14" i="15" s="1"/>
  <c r="K14" i="15" s="1"/>
  <c r="J40" i="3"/>
  <c r="E13" i="15" s="1"/>
  <c r="K13" i="15" s="1"/>
  <c r="I40" i="3"/>
  <c r="E12" i="15" s="1"/>
  <c r="K12" i="15" s="1"/>
  <c r="H40" i="3"/>
  <c r="E11" i="15" s="1"/>
  <c r="K11" i="15" s="1"/>
  <c r="G40" i="3"/>
  <c r="E10" i="15" s="1"/>
  <c r="K10" i="15" s="1"/>
  <c r="F40" i="3"/>
  <c r="E9" i="15" s="1"/>
  <c r="K9" i="15" s="1"/>
  <c r="E40" i="3"/>
  <c r="E8" i="15" s="1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D22" i="15" s="1"/>
  <c r="R39" i="3"/>
  <c r="D21" i="15" s="1"/>
  <c r="Q39" i="3"/>
  <c r="D20" i="15" s="1"/>
  <c r="P39" i="3"/>
  <c r="D19" i="15" s="1"/>
  <c r="O39" i="3"/>
  <c r="D18" i="15" s="1"/>
  <c r="N39" i="3"/>
  <c r="D17" i="15" s="1"/>
  <c r="M39" i="3"/>
  <c r="D16" i="15" s="1"/>
  <c r="L39" i="3"/>
  <c r="D15" i="15" s="1"/>
  <c r="K39" i="3"/>
  <c r="D14" i="15" s="1"/>
  <c r="J39" i="3"/>
  <c r="D13" i="15" s="1"/>
  <c r="I39" i="3"/>
  <c r="D12" i="15" s="1"/>
  <c r="H39" i="3"/>
  <c r="D11" i="15" s="1"/>
  <c r="G39" i="3"/>
  <c r="D10" i="15" s="1"/>
  <c r="F39" i="3"/>
  <c r="D9" i="15" s="1"/>
  <c r="E39" i="3"/>
  <c r="D8" i="15" s="1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B3" i="3"/>
  <c r="N34" i="2"/>
  <c r="O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O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O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O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O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O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O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O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O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O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O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O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O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O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O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C45" i="1"/>
  <c r="F20" i="18" l="1"/>
  <c r="F8" i="19"/>
  <c r="F20" i="22"/>
  <c r="F10" i="16"/>
  <c r="F11" i="21"/>
  <c r="F10" i="22"/>
  <c r="F13" i="20"/>
  <c r="F9" i="26"/>
  <c r="J9" i="17"/>
  <c r="F20" i="26"/>
  <c r="F16" i="16"/>
  <c r="F11" i="16"/>
  <c r="F9" i="17"/>
  <c r="F16" i="18"/>
  <c r="F15" i="19"/>
  <c r="F14" i="20"/>
  <c r="F18" i="21"/>
  <c r="F10" i="23"/>
  <c r="F16" i="25"/>
  <c r="F13" i="15"/>
  <c r="F17" i="16"/>
  <c r="F9" i="20"/>
  <c r="F13" i="21"/>
  <c r="F11" i="25"/>
  <c r="F17" i="25"/>
  <c r="J17" i="25" s="1"/>
  <c r="F16" i="19"/>
  <c r="F21" i="19"/>
  <c r="F15" i="20"/>
  <c r="F19" i="21"/>
  <c r="F10" i="20"/>
  <c r="F21" i="23"/>
  <c r="J21" i="23" s="1"/>
  <c r="F17" i="15"/>
  <c r="J17" i="15" s="1"/>
  <c r="F13" i="16"/>
  <c r="F18" i="18"/>
  <c r="F21" i="20"/>
  <c r="F9" i="21"/>
  <c r="F13" i="22"/>
  <c r="F8" i="22"/>
  <c r="F13" i="25"/>
  <c r="F15" i="21"/>
  <c r="F20" i="24"/>
  <c r="I20" i="24" s="1"/>
  <c r="F12" i="19"/>
  <c r="I10" i="24"/>
  <c r="F18" i="15"/>
  <c r="F9" i="16"/>
  <c r="J9" i="16" s="1"/>
  <c r="F9" i="18"/>
  <c r="F18" i="19"/>
  <c r="F13" i="26"/>
  <c r="F21" i="21"/>
  <c r="F13" i="24"/>
  <c r="F21" i="24"/>
  <c r="F21" i="18"/>
  <c r="F16" i="15"/>
  <c r="F19" i="15"/>
  <c r="F18" i="16"/>
  <c r="F17" i="17"/>
  <c r="J17" i="17" s="1"/>
  <c r="F12" i="18"/>
  <c r="J12" i="18" s="1"/>
  <c r="F9" i="22"/>
  <c r="F11" i="24"/>
  <c r="F16" i="24"/>
  <c r="F19" i="25"/>
  <c r="F12" i="26"/>
  <c r="F17" i="26"/>
  <c r="I17" i="26" s="1"/>
  <c r="I10" i="22"/>
  <c r="F8" i="15"/>
  <c r="F9" i="15"/>
  <c r="F10" i="15"/>
  <c r="F11" i="15"/>
  <c r="F12" i="16"/>
  <c r="F12" i="17"/>
  <c r="F20" i="17"/>
  <c r="F15" i="18"/>
  <c r="C38" i="18"/>
  <c r="F8" i="20"/>
  <c r="F12" i="20"/>
  <c r="F19" i="20"/>
  <c r="F14" i="21"/>
  <c r="F19" i="22"/>
  <c r="F14" i="23"/>
  <c r="F9" i="24"/>
  <c r="F14" i="24"/>
  <c r="F15" i="24"/>
  <c r="F19" i="24"/>
  <c r="H14" i="19"/>
  <c r="F12" i="15"/>
  <c r="F11" i="17"/>
  <c r="F19" i="17"/>
  <c r="F14" i="18"/>
  <c r="F9" i="19"/>
  <c r="F14" i="19"/>
  <c r="F19" i="19"/>
  <c r="F17" i="20"/>
  <c r="F17" i="21"/>
  <c r="F11" i="22"/>
  <c r="F11" i="23"/>
  <c r="F18" i="23"/>
  <c r="F17" i="24"/>
  <c r="F9" i="25"/>
  <c r="F15" i="25"/>
  <c r="F20" i="25"/>
  <c r="F11" i="26"/>
  <c r="M38" i="15"/>
  <c r="C38" i="22"/>
  <c r="F22" i="19"/>
  <c r="F22" i="25"/>
  <c r="J22" i="25" s="1"/>
  <c r="F22" i="24"/>
  <c r="G22" i="20"/>
  <c r="I22" i="20" s="1"/>
  <c r="H22" i="20"/>
  <c r="G22" i="15"/>
  <c r="I22" i="15" s="1"/>
  <c r="H22" i="15"/>
  <c r="J22" i="15" s="1"/>
  <c r="I22" i="16"/>
  <c r="H22" i="26"/>
  <c r="J22" i="26" s="1"/>
  <c r="G22" i="26"/>
  <c r="I22" i="26" s="1"/>
  <c r="L22" i="26" s="1"/>
  <c r="R22" i="26" s="1"/>
  <c r="M18" i="2" s="1"/>
  <c r="H22" i="21"/>
  <c r="J22" i="21" s="1"/>
  <c r="G22" i="21"/>
  <c r="I22" i="21"/>
  <c r="H22" i="19"/>
  <c r="G22" i="19"/>
  <c r="I22" i="19" s="1"/>
  <c r="J22" i="18"/>
  <c r="J22" i="20"/>
  <c r="I22" i="24"/>
  <c r="H22" i="16"/>
  <c r="J22" i="16" s="1"/>
  <c r="G22" i="16"/>
  <c r="H22" i="24"/>
  <c r="G22" i="24"/>
  <c r="J22" i="19"/>
  <c r="G22" i="22"/>
  <c r="I22" i="22" s="1"/>
  <c r="H22" i="22"/>
  <c r="J22" i="22" s="1"/>
  <c r="J22" i="17"/>
  <c r="J22" i="23"/>
  <c r="H22" i="17"/>
  <c r="G22" i="17"/>
  <c r="H22" i="25"/>
  <c r="G22" i="25"/>
  <c r="I22" i="17"/>
  <c r="G22" i="18"/>
  <c r="I22" i="18" s="1"/>
  <c r="L22" i="18" s="1"/>
  <c r="R22" i="18" s="1"/>
  <c r="E18" i="2" s="1"/>
  <c r="G22" i="23"/>
  <c r="I22" i="23" s="1"/>
  <c r="L22" i="23" s="1"/>
  <c r="R22" i="23" s="1"/>
  <c r="J18" i="2" s="1"/>
  <c r="H9" i="16"/>
  <c r="G9" i="16"/>
  <c r="I9" i="16" s="1"/>
  <c r="H14" i="15"/>
  <c r="J14" i="15" s="1"/>
  <c r="G14" i="15"/>
  <c r="I14" i="15" s="1"/>
  <c r="G9" i="15"/>
  <c r="H9" i="15"/>
  <c r="J9" i="15" s="1"/>
  <c r="G17" i="15"/>
  <c r="H17" i="15"/>
  <c r="H14" i="16"/>
  <c r="G14" i="16"/>
  <c r="E38" i="16"/>
  <c r="K8" i="16"/>
  <c r="K38" i="16" s="1"/>
  <c r="G11" i="17"/>
  <c r="H11" i="17"/>
  <c r="G19" i="17"/>
  <c r="I19" i="17" s="1"/>
  <c r="H19" i="17"/>
  <c r="J19" i="17" s="1"/>
  <c r="H10" i="15"/>
  <c r="J10" i="15" s="1"/>
  <c r="G10" i="15"/>
  <c r="I10" i="15" s="1"/>
  <c r="H18" i="15"/>
  <c r="J18" i="15" s="1"/>
  <c r="G18" i="15"/>
  <c r="H15" i="16"/>
  <c r="G15" i="16"/>
  <c r="H9" i="18"/>
  <c r="J9" i="18" s="1"/>
  <c r="G9" i="18"/>
  <c r="I9" i="18" s="1"/>
  <c r="H17" i="18"/>
  <c r="G17" i="18"/>
  <c r="I17" i="18" s="1"/>
  <c r="H11" i="15"/>
  <c r="G11" i="15"/>
  <c r="H19" i="15"/>
  <c r="G19" i="15"/>
  <c r="H8" i="16"/>
  <c r="G8" i="16"/>
  <c r="I8" i="16" s="1"/>
  <c r="D38" i="16"/>
  <c r="G16" i="16"/>
  <c r="I16" i="16" s="1"/>
  <c r="H16" i="16"/>
  <c r="J16" i="16" s="1"/>
  <c r="H13" i="17"/>
  <c r="G13" i="17"/>
  <c r="H21" i="17"/>
  <c r="J21" i="17" s="1"/>
  <c r="G21" i="17"/>
  <c r="H10" i="18"/>
  <c r="J10" i="18" s="1"/>
  <c r="G10" i="18"/>
  <c r="H18" i="18"/>
  <c r="G18" i="18"/>
  <c r="I18" i="18" s="1"/>
  <c r="G15" i="19"/>
  <c r="H15" i="19"/>
  <c r="G12" i="20"/>
  <c r="H12" i="20"/>
  <c r="G20" i="20"/>
  <c r="I20" i="20" s="1"/>
  <c r="H20" i="20"/>
  <c r="P8" i="16"/>
  <c r="H14" i="17"/>
  <c r="J14" i="17" s="1"/>
  <c r="G14" i="17"/>
  <c r="H11" i="18"/>
  <c r="G11" i="18"/>
  <c r="I11" i="18" s="1"/>
  <c r="H19" i="18"/>
  <c r="G19" i="18"/>
  <c r="H8" i="19"/>
  <c r="J8" i="19" s="1"/>
  <c r="G8" i="19"/>
  <c r="I8" i="19" s="1"/>
  <c r="D38" i="19"/>
  <c r="H16" i="19"/>
  <c r="J16" i="19" s="1"/>
  <c r="G16" i="19"/>
  <c r="I16" i="19" s="1"/>
  <c r="G13" i="20"/>
  <c r="I13" i="20" s="1"/>
  <c r="H13" i="20"/>
  <c r="J13" i="20" s="1"/>
  <c r="G21" i="20"/>
  <c r="I21" i="20" s="1"/>
  <c r="H21" i="20"/>
  <c r="J21" i="20" s="1"/>
  <c r="H10" i="21"/>
  <c r="G10" i="21"/>
  <c r="H18" i="21"/>
  <c r="J18" i="21" s="1"/>
  <c r="G18" i="21"/>
  <c r="I18" i="21" s="1"/>
  <c r="H15" i="22"/>
  <c r="J15" i="22" s="1"/>
  <c r="G15" i="22"/>
  <c r="I15" i="22" s="1"/>
  <c r="H12" i="23"/>
  <c r="J12" i="23" s="1"/>
  <c r="G12" i="23"/>
  <c r="I19" i="15"/>
  <c r="J19" i="15"/>
  <c r="H20" i="15"/>
  <c r="J20" i="15" s="1"/>
  <c r="G20" i="15"/>
  <c r="I20" i="15" s="1"/>
  <c r="K8" i="17"/>
  <c r="K38" i="17" s="1"/>
  <c r="E38" i="17"/>
  <c r="H13" i="15"/>
  <c r="G13" i="15"/>
  <c r="H21" i="15"/>
  <c r="J21" i="15" s="1"/>
  <c r="G21" i="15"/>
  <c r="I21" i="15" s="1"/>
  <c r="H10" i="16"/>
  <c r="J10" i="16" s="1"/>
  <c r="G10" i="16"/>
  <c r="H18" i="16"/>
  <c r="G18" i="16"/>
  <c r="G15" i="17"/>
  <c r="I15" i="17" s="1"/>
  <c r="L15" i="17" s="1"/>
  <c r="R15" i="17" s="1"/>
  <c r="D11" i="2" s="1"/>
  <c r="H15" i="17"/>
  <c r="I9" i="15"/>
  <c r="I14" i="16"/>
  <c r="J14" i="16"/>
  <c r="E38" i="15"/>
  <c r="K8" i="15"/>
  <c r="K38" i="15" s="1"/>
  <c r="H11" i="16"/>
  <c r="J11" i="16" s="1"/>
  <c r="G11" i="16"/>
  <c r="I11" i="16" s="1"/>
  <c r="H19" i="16"/>
  <c r="G19" i="16"/>
  <c r="I19" i="16" s="1"/>
  <c r="H10" i="19"/>
  <c r="J10" i="19" s="1"/>
  <c r="G10" i="19"/>
  <c r="I10" i="19" s="1"/>
  <c r="H12" i="15"/>
  <c r="G12" i="15"/>
  <c r="I12" i="15" s="1"/>
  <c r="H15" i="15"/>
  <c r="J15" i="15" s="1"/>
  <c r="G15" i="15"/>
  <c r="G12" i="16"/>
  <c r="I12" i="16" s="1"/>
  <c r="H12" i="16"/>
  <c r="J12" i="16" s="1"/>
  <c r="K38" i="18"/>
  <c r="M9" i="16"/>
  <c r="P9" i="16" s="1"/>
  <c r="M9" i="17" s="1"/>
  <c r="P9" i="17" s="1"/>
  <c r="M9" i="18" s="1"/>
  <c r="P9" i="18" s="1"/>
  <c r="M9" i="19" s="1"/>
  <c r="P9" i="19" s="1"/>
  <c r="M9" i="20" s="1"/>
  <c r="P9" i="20" s="1"/>
  <c r="M9" i="21" s="1"/>
  <c r="P9" i="21" s="1"/>
  <c r="M9" i="22" s="1"/>
  <c r="P9" i="22" s="1"/>
  <c r="M9" i="23" s="1"/>
  <c r="P9" i="23" s="1"/>
  <c r="M9" i="24" s="1"/>
  <c r="P9" i="24" s="1"/>
  <c r="M9" i="25" s="1"/>
  <c r="P9" i="25" s="1"/>
  <c r="M9" i="26" s="1"/>
  <c r="P9" i="26" s="1"/>
  <c r="P38" i="15"/>
  <c r="H17" i="16"/>
  <c r="J17" i="16" s="1"/>
  <c r="G17" i="16"/>
  <c r="D38" i="15"/>
  <c r="H8" i="15"/>
  <c r="G8" i="15"/>
  <c r="H16" i="15"/>
  <c r="G16" i="15"/>
  <c r="H13" i="16"/>
  <c r="J13" i="16" s="1"/>
  <c r="G13" i="16"/>
  <c r="I13" i="16" s="1"/>
  <c r="J13" i="15"/>
  <c r="J16" i="15"/>
  <c r="I18" i="15"/>
  <c r="H9" i="19"/>
  <c r="G9" i="19"/>
  <c r="I9" i="19" s="1"/>
  <c r="H17" i="19"/>
  <c r="J17" i="19" s="1"/>
  <c r="G17" i="19"/>
  <c r="I17" i="19" s="1"/>
  <c r="H14" i="20"/>
  <c r="J14" i="20" s="1"/>
  <c r="G14" i="20"/>
  <c r="I14" i="20" s="1"/>
  <c r="E38" i="20"/>
  <c r="K8" i="20"/>
  <c r="K38" i="20" s="1"/>
  <c r="H11" i="21"/>
  <c r="J11" i="21" s="1"/>
  <c r="G11" i="21"/>
  <c r="I11" i="21" s="1"/>
  <c r="G19" i="21"/>
  <c r="H19" i="21"/>
  <c r="H8" i="22"/>
  <c r="D38" i="22"/>
  <c r="G8" i="22"/>
  <c r="H16" i="22"/>
  <c r="G16" i="22"/>
  <c r="I16" i="22" s="1"/>
  <c r="H13" i="23"/>
  <c r="J13" i="23" s="1"/>
  <c r="G13" i="23"/>
  <c r="H21" i="23"/>
  <c r="G21" i="23"/>
  <c r="G18" i="24"/>
  <c r="I18" i="24" s="1"/>
  <c r="H18" i="24"/>
  <c r="G15" i="25"/>
  <c r="I15" i="25" s="1"/>
  <c r="L15" i="25" s="1"/>
  <c r="R15" i="25" s="1"/>
  <c r="L11" i="2" s="1"/>
  <c r="H15" i="25"/>
  <c r="J15" i="25" s="1"/>
  <c r="H12" i="26"/>
  <c r="J12" i="26" s="1"/>
  <c r="G12" i="26"/>
  <c r="H20" i="26"/>
  <c r="G20" i="26"/>
  <c r="I20" i="26" s="1"/>
  <c r="J19" i="16"/>
  <c r="J18" i="18"/>
  <c r="J20" i="18"/>
  <c r="D38" i="17"/>
  <c r="H8" i="17"/>
  <c r="J8" i="17" s="1"/>
  <c r="G8" i="17"/>
  <c r="I8" i="17" s="1"/>
  <c r="H16" i="17"/>
  <c r="J16" i="17" s="1"/>
  <c r="G16" i="17"/>
  <c r="I16" i="17" s="1"/>
  <c r="G18" i="19"/>
  <c r="H18" i="19"/>
  <c r="G15" i="20"/>
  <c r="I15" i="20" s="1"/>
  <c r="H15" i="20"/>
  <c r="J15" i="20" s="1"/>
  <c r="H12" i="21"/>
  <c r="G12" i="21"/>
  <c r="I12" i="21" s="1"/>
  <c r="H20" i="21"/>
  <c r="G20" i="21"/>
  <c r="I20" i="21" s="1"/>
  <c r="H9" i="22"/>
  <c r="G9" i="22"/>
  <c r="I9" i="22" s="1"/>
  <c r="L9" i="22" s="1"/>
  <c r="R9" i="22" s="1"/>
  <c r="I5" i="2" s="1"/>
  <c r="H17" i="22"/>
  <c r="G17" i="22"/>
  <c r="I17" i="22" s="1"/>
  <c r="G14" i="23"/>
  <c r="H14" i="23"/>
  <c r="J14" i="23" s="1"/>
  <c r="E38" i="23"/>
  <c r="K8" i="23"/>
  <c r="K38" i="23" s="1"/>
  <c r="H11" i="24"/>
  <c r="G11" i="24"/>
  <c r="I11" i="24" s="1"/>
  <c r="L11" i="24" s="1"/>
  <c r="R11" i="24" s="1"/>
  <c r="K7" i="2" s="1"/>
  <c r="H19" i="24"/>
  <c r="J19" i="24" s="1"/>
  <c r="G19" i="24"/>
  <c r="G8" i="25"/>
  <c r="D38" i="25"/>
  <c r="H8" i="25"/>
  <c r="G16" i="25"/>
  <c r="I16" i="25" s="1"/>
  <c r="H16" i="25"/>
  <c r="H13" i="26"/>
  <c r="J13" i="26" s="1"/>
  <c r="G13" i="26"/>
  <c r="H21" i="26"/>
  <c r="J21" i="26" s="1"/>
  <c r="G21" i="26"/>
  <c r="H10" i="17"/>
  <c r="J15" i="17"/>
  <c r="F18" i="17"/>
  <c r="H13" i="18"/>
  <c r="J13" i="18" s="1"/>
  <c r="I13" i="26"/>
  <c r="G14" i="18"/>
  <c r="H14" i="18"/>
  <c r="E38" i="18"/>
  <c r="H11" i="19"/>
  <c r="J11" i="19" s="1"/>
  <c r="G11" i="19"/>
  <c r="I11" i="19" s="1"/>
  <c r="H19" i="19"/>
  <c r="G19" i="19"/>
  <c r="H8" i="20"/>
  <c r="J8" i="20" s="1"/>
  <c r="G8" i="20"/>
  <c r="I8" i="20" s="1"/>
  <c r="D38" i="20"/>
  <c r="H16" i="20"/>
  <c r="J16" i="20" s="1"/>
  <c r="G16" i="20"/>
  <c r="I16" i="20" s="1"/>
  <c r="H13" i="21"/>
  <c r="J13" i="21" s="1"/>
  <c r="G13" i="21"/>
  <c r="I13" i="21" s="1"/>
  <c r="H21" i="21"/>
  <c r="J21" i="21" s="1"/>
  <c r="G21" i="21"/>
  <c r="I21" i="21" s="1"/>
  <c r="H18" i="22"/>
  <c r="J18" i="22" s="1"/>
  <c r="G18" i="22"/>
  <c r="I18" i="22" s="1"/>
  <c r="G15" i="23"/>
  <c r="I15" i="23" s="1"/>
  <c r="H15" i="23"/>
  <c r="J15" i="23" s="1"/>
  <c r="H12" i="24"/>
  <c r="J12" i="24" s="1"/>
  <c r="G12" i="24"/>
  <c r="H20" i="24"/>
  <c r="G20" i="24"/>
  <c r="H9" i="25"/>
  <c r="J9" i="25" s="1"/>
  <c r="G9" i="25"/>
  <c r="I9" i="25" s="1"/>
  <c r="H17" i="25"/>
  <c r="G17" i="25"/>
  <c r="H14" i="26"/>
  <c r="J14" i="26" s="1"/>
  <c r="G14" i="26"/>
  <c r="E38" i="26"/>
  <c r="K8" i="26"/>
  <c r="K38" i="26" s="1"/>
  <c r="I13" i="17"/>
  <c r="J13" i="17"/>
  <c r="J17" i="18"/>
  <c r="G20" i="18"/>
  <c r="I20" i="18" s="1"/>
  <c r="J20" i="19"/>
  <c r="H15" i="18"/>
  <c r="G15" i="18"/>
  <c r="I15" i="18" s="1"/>
  <c r="G12" i="19"/>
  <c r="I12" i="19" s="1"/>
  <c r="H12" i="19"/>
  <c r="J12" i="19" s="1"/>
  <c r="H9" i="20"/>
  <c r="J9" i="20" s="1"/>
  <c r="G9" i="20"/>
  <c r="I9" i="20" s="1"/>
  <c r="H17" i="20"/>
  <c r="G17" i="20"/>
  <c r="H14" i="21"/>
  <c r="J14" i="21" s="1"/>
  <c r="G14" i="21"/>
  <c r="I14" i="21" s="1"/>
  <c r="K8" i="21"/>
  <c r="K38" i="21" s="1"/>
  <c r="E38" i="21"/>
  <c r="G11" i="22"/>
  <c r="I11" i="22" s="1"/>
  <c r="H11" i="22"/>
  <c r="J11" i="22" s="1"/>
  <c r="G19" i="22"/>
  <c r="I19" i="22" s="1"/>
  <c r="H19" i="22"/>
  <c r="J19" i="22" s="1"/>
  <c r="D38" i="23"/>
  <c r="G8" i="23"/>
  <c r="I8" i="23" s="1"/>
  <c r="H8" i="23"/>
  <c r="H16" i="23"/>
  <c r="J16" i="23" s="1"/>
  <c r="G16" i="23"/>
  <c r="I16" i="23" s="1"/>
  <c r="G13" i="24"/>
  <c r="I13" i="24" s="1"/>
  <c r="H13" i="24"/>
  <c r="J13" i="24" s="1"/>
  <c r="G21" i="24"/>
  <c r="I21" i="24" s="1"/>
  <c r="H21" i="24"/>
  <c r="H10" i="25"/>
  <c r="G10" i="25"/>
  <c r="H18" i="25"/>
  <c r="G18" i="25"/>
  <c r="I18" i="25" s="1"/>
  <c r="G15" i="26"/>
  <c r="I15" i="26" s="1"/>
  <c r="H15" i="26"/>
  <c r="I15" i="15"/>
  <c r="I10" i="16"/>
  <c r="G9" i="17"/>
  <c r="I9" i="17" s="1"/>
  <c r="L9" i="17" s="1"/>
  <c r="R9" i="17" s="1"/>
  <c r="D5" i="2" s="1"/>
  <c r="H18" i="17"/>
  <c r="J18" i="20"/>
  <c r="H8" i="18"/>
  <c r="J8" i="18" s="1"/>
  <c r="G8" i="18"/>
  <c r="I8" i="18" s="1"/>
  <c r="D38" i="18"/>
  <c r="H16" i="18"/>
  <c r="J16" i="18" s="1"/>
  <c r="G16" i="18"/>
  <c r="I16" i="18" s="1"/>
  <c r="H13" i="19"/>
  <c r="G13" i="19"/>
  <c r="G21" i="19"/>
  <c r="H21" i="19"/>
  <c r="H10" i="20"/>
  <c r="J10" i="20" s="1"/>
  <c r="G10" i="20"/>
  <c r="I10" i="20" s="1"/>
  <c r="H18" i="20"/>
  <c r="G18" i="20"/>
  <c r="I18" i="20" s="1"/>
  <c r="G15" i="21"/>
  <c r="I15" i="21" s="1"/>
  <c r="H15" i="21"/>
  <c r="J15" i="21" s="1"/>
  <c r="H12" i="22"/>
  <c r="J12" i="22" s="1"/>
  <c r="G12" i="22"/>
  <c r="H20" i="22"/>
  <c r="G20" i="22"/>
  <c r="I20" i="22" s="1"/>
  <c r="G9" i="23"/>
  <c r="H9" i="23"/>
  <c r="H17" i="23"/>
  <c r="J17" i="23" s="1"/>
  <c r="G17" i="23"/>
  <c r="H14" i="24"/>
  <c r="J14" i="24" s="1"/>
  <c r="G14" i="24"/>
  <c r="E38" i="24"/>
  <c r="K8" i="24"/>
  <c r="K38" i="24" s="1"/>
  <c r="H11" i="25"/>
  <c r="G11" i="25"/>
  <c r="I11" i="25" s="1"/>
  <c r="H19" i="25"/>
  <c r="J19" i="25" s="1"/>
  <c r="G19" i="25"/>
  <c r="I19" i="25" s="1"/>
  <c r="H8" i="26"/>
  <c r="G8" i="26"/>
  <c r="D38" i="26"/>
  <c r="H16" i="26"/>
  <c r="G16" i="26"/>
  <c r="I16" i="26" s="1"/>
  <c r="C38" i="15"/>
  <c r="J21" i="16"/>
  <c r="C38" i="17"/>
  <c r="J11" i="17"/>
  <c r="I21" i="17"/>
  <c r="G12" i="18"/>
  <c r="G14" i="19"/>
  <c r="I14" i="19" s="1"/>
  <c r="J18" i="19"/>
  <c r="G20" i="19"/>
  <c r="I20" i="19" s="1"/>
  <c r="L20" i="19" s="1"/>
  <c r="R20" i="19" s="1"/>
  <c r="F16" i="2" s="1"/>
  <c r="H10" i="24"/>
  <c r="J10" i="24" s="1"/>
  <c r="L10" i="24" s="1"/>
  <c r="R10" i="24" s="1"/>
  <c r="K6" i="2" s="1"/>
  <c r="H12" i="17"/>
  <c r="J12" i="17" s="1"/>
  <c r="G12" i="17"/>
  <c r="I12" i="17" s="1"/>
  <c r="H20" i="17"/>
  <c r="G20" i="17"/>
  <c r="I20" i="17" s="1"/>
  <c r="E38" i="19"/>
  <c r="K8" i="19"/>
  <c r="K38" i="19" s="1"/>
  <c r="H11" i="20"/>
  <c r="J11" i="20" s="1"/>
  <c r="G11" i="20"/>
  <c r="I11" i="20" s="1"/>
  <c r="D38" i="21"/>
  <c r="G8" i="21"/>
  <c r="H8" i="21"/>
  <c r="J8" i="21" s="1"/>
  <c r="G16" i="21"/>
  <c r="I16" i="21" s="1"/>
  <c r="H16" i="21"/>
  <c r="J16" i="21" s="1"/>
  <c r="H13" i="22"/>
  <c r="J13" i="22" s="1"/>
  <c r="G13" i="22"/>
  <c r="I13" i="22" s="1"/>
  <c r="H21" i="22"/>
  <c r="G21" i="22"/>
  <c r="H10" i="23"/>
  <c r="J10" i="23" s="1"/>
  <c r="G10" i="23"/>
  <c r="G18" i="23"/>
  <c r="I18" i="23" s="1"/>
  <c r="H18" i="23"/>
  <c r="J18" i="23" s="1"/>
  <c r="H15" i="24"/>
  <c r="G15" i="24"/>
  <c r="H12" i="25"/>
  <c r="J12" i="25" s="1"/>
  <c r="G12" i="25"/>
  <c r="I12" i="25" s="1"/>
  <c r="H20" i="25"/>
  <c r="G20" i="25"/>
  <c r="H9" i="26"/>
  <c r="G9" i="26"/>
  <c r="I9" i="26" s="1"/>
  <c r="L9" i="26" s="1"/>
  <c r="R9" i="26" s="1"/>
  <c r="M5" i="2" s="1"/>
  <c r="H17" i="26"/>
  <c r="J17" i="26" s="1"/>
  <c r="G17" i="26"/>
  <c r="I13" i="15"/>
  <c r="H20" i="16"/>
  <c r="J20" i="16" s="1"/>
  <c r="G21" i="16"/>
  <c r="I21" i="16" s="1"/>
  <c r="L21" i="16" s="1"/>
  <c r="R21" i="16" s="1"/>
  <c r="C17" i="2" s="1"/>
  <c r="G17" i="17"/>
  <c r="J19" i="18"/>
  <c r="I19" i="18"/>
  <c r="I21" i="18"/>
  <c r="H14" i="22"/>
  <c r="J14" i="22" s="1"/>
  <c r="H9" i="21"/>
  <c r="J9" i="21" s="1"/>
  <c r="G9" i="21"/>
  <c r="I9" i="21" s="1"/>
  <c r="H17" i="21"/>
  <c r="J17" i="21" s="1"/>
  <c r="G17" i="21"/>
  <c r="I17" i="21" s="1"/>
  <c r="K8" i="22"/>
  <c r="K38" i="22" s="1"/>
  <c r="E38" i="22"/>
  <c r="H11" i="23"/>
  <c r="J11" i="23" s="1"/>
  <c r="G11" i="23"/>
  <c r="H19" i="23"/>
  <c r="J19" i="23" s="1"/>
  <c r="G19" i="23"/>
  <c r="H8" i="24"/>
  <c r="J8" i="24" s="1"/>
  <c r="G8" i="24"/>
  <c r="D38" i="24"/>
  <c r="H16" i="24"/>
  <c r="G16" i="24"/>
  <c r="I16" i="24" s="1"/>
  <c r="G13" i="25"/>
  <c r="I13" i="25" s="1"/>
  <c r="H13" i="25"/>
  <c r="J13" i="25" s="1"/>
  <c r="G21" i="25"/>
  <c r="I21" i="25" s="1"/>
  <c r="H21" i="25"/>
  <c r="J21" i="25" s="1"/>
  <c r="G10" i="26"/>
  <c r="H10" i="26"/>
  <c r="H18" i="26"/>
  <c r="G18" i="26"/>
  <c r="F15" i="16"/>
  <c r="I20" i="16"/>
  <c r="F13" i="19"/>
  <c r="H20" i="23"/>
  <c r="J20" i="23" s="1"/>
  <c r="G20" i="23"/>
  <c r="H9" i="24"/>
  <c r="G9" i="24"/>
  <c r="H17" i="24"/>
  <c r="J17" i="24" s="1"/>
  <c r="G17" i="24"/>
  <c r="H14" i="25"/>
  <c r="J14" i="25" s="1"/>
  <c r="G14" i="25"/>
  <c r="E38" i="25"/>
  <c r="K8" i="25"/>
  <c r="K38" i="25" s="1"/>
  <c r="G11" i="26"/>
  <c r="I11" i="26" s="1"/>
  <c r="H11" i="26"/>
  <c r="J11" i="26" s="1"/>
  <c r="G19" i="26"/>
  <c r="I19" i="26" s="1"/>
  <c r="H19" i="26"/>
  <c r="C38" i="16"/>
  <c r="F10" i="17"/>
  <c r="I11" i="17"/>
  <c r="J20" i="17"/>
  <c r="J11" i="18"/>
  <c r="I13" i="18"/>
  <c r="H21" i="18"/>
  <c r="J21" i="18" s="1"/>
  <c r="J21" i="19"/>
  <c r="I21" i="19"/>
  <c r="G19" i="20"/>
  <c r="H10" i="22"/>
  <c r="J10" i="22" s="1"/>
  <c r="L10" i="22" s="1"/>
  <c r="R10" i="22" s="1"/>
  <c r="I6" i="2" s="1"/>
  <c r="F10" i="21"/>
  <c r="J12" i="21"/>
  <c r="J19" i="21"/>
  <c r="J9" i="22"/>
  <c r="C38" i="19"/>
  <c r="J20" i="22"/>
  <c r="I10" i="18"/>
  <c r="J20" i="20"/>
  <c r="I14" i="17"/>
  <c r="I8" i="22"/>
  <c r="J8" i="22"/>
  <c r="J17" i="22"/>
  <c r="J20" i="21"/>
  <c r="I12" i="22"/>
  <c r="I14" i="22"/>
  <c r="C38" i="20"/>
  <c r="F21" i="22"/>
  <c r="I19" i="23"/>
  <c r="J18" i="25"/>
  <c r="I11" i="23"/>
  <c r="I12" i="23"/>
  <c r="L12" i="23" s="1"/>
  <c r="R12" i="23" s="1"/>
  <c r="J8" i="2" s="1"/>
  <c r="J11" i="25"/>
  <c r="C38" i="21"/>
  <c r="I19" i="21"/>
  <c r="F9" i="23"/>
  <c r="I14" i="23"/>
  <c r="I17" i="23"/>
  <c r="I20" i="23"/>
  <c r="J11" i="24"/>
  <c r="I8" i="24"/>
  <c r="I15" i="24"/>
  <c r="J15" i="24"/>
  <c r="I21" i="26"/>
  <c r="I10" i="23"/>
  <c r="I12" i="26"/>
  <c r="I19" i="24"/>
  <c r="I14" i="25"/>
  <c r="I8" i="26"/>
  <c r="J16" i="22"/>
  <c r="I12" i="24"/>
  <c r="I14" i="24"/>
  <c r="I10" i="25"/>
  <c r="J10" i="25"/>
  <c r="J20" i="26"/>
  <c r="I21" i="23"/>
  <c r="C38" i="24"/>
  <c r="J18" i="24"/>
  <c r="J21" i="24"/>
  <c r="J9" i="26"/>
  <c r="J15" i="26"/>
  <c r="F18" i="26"/>
  <c r="J19" i="26"/>
  <c r="I14" i="26"/>
  <c r="C38" i="23"/>
  <c r="I13" i="23"/>
  <c r="J9" i="24"/>
  <c r="I17" i="24"/>
  <c r="J16" i="26"/>
  <c r="C38" i="25"/>
  <c r="F8" i="25"/>
  <c r="J16" i="25"/>
  <c r="F10" i="26"/>
  <c r="C38" i="26"/>
  <c r="L15" i="22" l="1"/>
  <c r="R15" i="22" s="1"/>
  <c r="I11" i="2" s="1"/>
  <c r="I18" i="19"/>
  <c r="I17" i="16"/>
  <c r="L17" i="16" s="1"/>
  <c r="R17" i="16" s="1"/>
  <c r="C13" i="2" s="1"/>
  <c r="J16" i="24"/>
  <c r="J12" i="20"/>
  <c r="I12" i="20"/>
  <c r="I12" i="18"/>
  <c r="L12" i="18" s="1"/>
  <c r="R12" i="18" s="1"/>
  <c r="E8" i="2" s="1"/>
  <c r="J20" i="24"/>
  <c r="I19" i="19"/>
  <c r="J15" i="19"/>
  <c r="L15" i="19" s="1"/>
  <c r="R15" i="19" s="1"/>
  <c r="F11" i="2" s="1"/>
  <c r="L18" i="20"/>
  <c r="R18" i="20" s="1"/>
  <c r="G14" i="2" s="1"/>
  <c r="J9" i="19"/>
  <c r="J19" i="19"/>
  <c r="L20" i="21"/>
  <c r="R20" i="21" s="1"/>
  <c r="H16" i="2" s="1"/>
  <c r="I15" i="19"/>
  <c r="I17" i="15"/>
  <c r="L18" i="18"/>
  <c r="R18" i="18" s="1"/>
  <c r="E14" i="2" s="1"/>
  <c r="J20" i="25"/>
  <c r="J14" i="19"/>
  <c r="I11" i="15"/>
  <c r="J12" i="15"/>
  <c r="I18" i="16"/>
  <c r="L18" i="16" s="1"/>
  <c r="R18" i="16" s="1"/>
  <c r="C14" i="2" s="1"/>
  <c r="L15" i="21"/>
  <c r="R15" i="21" s="1"/>
  <c r="H11" i="2" s="1"/>
  <c r="L21" i="17"/>
  <c r="R21" i="17" s="1"/>
  <c r="D17" i="2" s="1"/>
  <c r="I16" i="15"/>
  <c r="L16" i="15" s="1"/>
  <c r="R16" i="15" s="1"/>
  <c r="B12" i="2" s="1"/>
  <c r="J18" i="16"/>
  <c r="I17" i="25"/>
  <c r="L11" i="17"/>
  <c r="R11" i="17" s="1"/>
  <c r="D7" i="2" s="1"/>
  <c r="L18" i="21"/>
  <c r="R18" i="21" s="1"/>
  <c r="H14" i="2" s="1"/>
  <c r="L14" i="21"/>
  <c r="R14" i="21" s="1"/>
  <c r="H10" i="2" s="1"/>
  <c r="L11" i="21"/>
  <c r="R11" i="21" s="1"/>
  <c r="H7" i="2" s="1"/>
  <c r="I19" i="20"/>
  <c r="I17" i="20"/>
  <c r="L14" i="20"/>
  <c r="R14" i="20" s="1"/>
  <c r="G10" i="2" s="1"/>
  <c r="L13" i="22"/>
  <c r="R13" i="22" s="1"/>
  <c r="I9" i="2" s="1"/>
  <c r="L13" i="15"/>
  <c r="R13" i="15" s="1"/>
  <c r="B9" i="2" s="1"/>
  <c r="L16" i="19"/>
  <c r="R16" i="19" s="1"/>
  <c r="F12" i="2" s="1"/>
  <c r="L17" i="19"/>
  <c r="R17" i="19" s="1"/>
  <c r="F13" i="2" s="1"/>
  <c r="L11" i="19"/>
  <c r="R11" i="19" s="1"/>
  <c r="F7" i="2" s="1"/>
  <c r="L21" i="23"/>
  <c r="R21" i="23" s="1"/>
  <c r="J17" i="2" s="1"/>
  <c r="L21" i="19"/>
  <c r="R21" i="19" s="1"/>
  <c r="F17" i="2" s="1"/>
  <c r="L21" i="21"/>
  <c r="R21" i="21" s="1"/>
  <c r="H17" i="2" s="1"/>
  <c r="L21" i="24"/>
  <c r="R21" i="24" s="1"/>
  <c r="K17" i="2" s="1"/>
  <c r="L9" i="19"/>
  <c r="R9" i="19" s="1"/>
  <c r="F5" i="2" s="1"/>
  <c r="I14" i="18"/>
  <c r="L10" i="18"/>
  <c r="R10" i="18" s="1"/>
  <c r="E6" i="2" s="1"/>
  <c r="L20" i="18"/>
  <c r="R20" i="18" s="1"/>
  <c r="E16" i="2" s="1"/>
  <c r="L13" i="17"/>
  <c r="R13" i="17" s="1"/>
  <c r="D9" i="2" s="1"/>
  <c r="L12" i="16"/>
  <c r="R12" i="16" s="1"/>
  <c r="C8" i="2" s="1"/>
  <c r="L12" i="24"/>
  <c r="R12" i="24" s="1"/>
  <c r="K8" i="2" s="1"/>
  <c r="I9" i="24"/>
  <c r="L9" i="24" s="1"/>
  <c r="R9" i="24" s="1"/>
  <c r="K5" i="2" s="1"/>
  <c r="L11" i="20"/>
  <c r="R11" i="20" s="1"/>
  <c r="G7" i="2" s="1"/>
  <c r="L20" i="17"/>
  <c r="R20" i="17" s="1"/>
  <c r="D16" i="2" s="1"/>
  <c r="L14" i="19"/>
  <c r="R14" i="19" s="1"/>
  <c r="F10" i="2" s="1"/>
  <c r="L16" i="18"/>
  <c r="R16" i="18" s="1"/>
  <c r="E12" i="2" s="1"/>
  <c r="L16" i="23"/>
  <c r="R16" i="23" s="1"/>
  <c r="J12" i="2" s="1"/>
  <c r="L11" i="22"/>
  <c r="R11" i="22" s="1"/>
  <c r="I7" i="2" s="1"/>
  <c r="J15" i="18"/>
  <c r="L10" i="15"/>
  <c r="R10" i="15" s="1"/>
  <c r="B6" i="2" s="1"/>
  <c r="L16" i="26"/>
  <c r="R16" i="26" s="1"/>
  <c r="M12" i="2" s="1"/>
  <c r="L14" i="26"/>
  <c r="R14" i="26" s="1"/>
  <c r="M10" i="2" s="1"/>
  <c r="L11" i="23"/>
  <c r="R11" i="23" s="1"/>
  <c r="J7" i="2" s="1"/>
  <c r="L13" i="23"/>
  <c r="R13" i="23" s="1"/>
  <c r="J9" i="2" s="1"/>
  <c r="I20" i="25"/>
  <c r="L19" i="21"/>
  <c r="R19" i="21" s="1"/>
  <c r="H15" i="2" s="1"/>
  <c r="L19" i="23"/>
  <c r="R19" i="23" s="1"/>
  <c r="J15" i="2" s="1"/>
  <c r="J19" i="20"/>
  <c r="L14" i="17"/>
  <c r="R14" i="17" s="1"/>
  <c r="D10" i="2" s="1"/>
  <c r="L11" i="18"/>
  <c r="R11" i="18" s="1"/>
  <c r="E7" i="2" s="1"/>
  <c r="L19" i="19"/>
  <c r="R19" i="19" s="1"/>
  <c r="F15" i="2" s="1"/>
  <c r="I17" i="17"/>
  <c r="L17" i="17" s="1"/>
  <c r="R17" i="17" s="1"/>
  <c r="D13" i="2" s="1"/>
  <c r="L10" i="19"/>
  <c r="R10" i="19" s="1"/>
  <c r="F6" i="2" s="1"/>
  <c r="L18" i="15"/>
  <c r="R18" i="15" s="1"/>
  <c r="B14" i="2" s="1"/>
  <c r="J11" i="15"/>
  <c r="L11" i="15" s="1"/>
  <c r="R11" i="15" s="1"/>
  <c r="B7" i="2" s="1"/>
  <c r="L13" i="18"/>
  <c r="R13" i="18" s="1"/>
  <c r="E9" i="2" s="1"/>
  <c r="L12" i="26"/>
  <c r="R12" i="26" s="1"/>
  <c r="M8" i="2" s="1"/>
  <c r="L14" i="23"/>
  <c r="R14" i="23" s="1"/>
  <c r="J10" i="2" s="1"/>
  <c r="L18" i="25"/>
  <c r="R18" i="25" s="1"/>
  <c r="L14" i="2" s="1"/>
  <c r="L9" i="21"/>
  <c r="R9" i="21" s="1"/>
  <c r="H5" i="2" s="1"/>
  <c r="L19" i="18"/>
  <c r="R19" i="18" s="1"/>
  <c r="E15" i="2" s="1"/>
  <c r="L12" i="17"/>
  <c r="R12" i="17" s="1"/>
  <c r="D8" i="2" s="1"/>
  <c r="L20" i="22"/>
  <c r="R20" i="22" s="1"/>
  <c r="I16" i="2" s="1"/>
  <c r="L10" i="20"/>
  <c r="R10" i="20" s="1"/>
  <c r="G6" i="2" s="1"/>
  <c r="J17" i="20"/>
  <c r="L17" i="20" s="1"/>
  <c r="R17" i="20" s="1"/>
  <c r="G13" i="2" s="1"/>
  <c r="J14" i="18"/>
  <c r="L19" i="16"/>
  <c r="R19" i="16" s="1"/>
  <c r="C15" i="2" s="1"/>
  <c r="L12" i="15"/>
  <c r="R12" i="15" s="1"/>
  <c r="B8" i="2" s="1"/>
  <c r="H38" i="24"/>
  <c r="L22" i="17"/>
  <c r="R22" i="17" s="1"/>
  <c r="D18" i="2" s="1"/>
  <c r="J22" i="24"/>
  <c r="J38" i="24" s="1"/>
  <c r="I22" i="25"/>
  <c r="L22" i="25" s="1"/>
  <c r="R22" i="25" s="1"/>
  <c r="L18" i="2" s="1"/>
  <c r="L22" i="20"/>
  <c r="R22" i="20" s="1"/>
  <c r="G18" i="2" s="1"/>
  <c r="L22" i="19"/>
  <c r="R22" i="19" s="1"/>
  <c r="F18" i="2" s="1"/>
  <c r="L22" i="22"/>
  <c r="R22" i="22" s="1"/>
  <c r="I18" i="2" s="1"/>
  <c r="L22" i="21"/>
  <c r="R22" i="21" s="1"/>
  <c r="H18" i="2" s="1"/>
  <c r="L22" i="16"/>
  <c r="R22" i="16" s="1"/>
  <c r="C18" i="2" s="1"/>
  <c r="L22" i="15"/>
  <c r="R22" i="15" s="1"/>
  <c r="B18" i="2" s="1"/>
  <c r="L22" i="24"/>
  <c r="R22" i="24" s="1"/>
  <c r="K18" i="2" s="1"/>
  <c r="L13" i="16"/>
  <c r="R13" i="16" s="1"/>
  <c r="C9" i="2" s="1"/>
  <c r="L20" i="15"/>
  <c r="R20" i="15" s="1"/>
  <c r="B16" i="2" s="1"/>
  <c r="L14" i="22"/>
  <c r="R14" i="22" s="1"/>
  <c r="I10" i="2" s="1"/>
  <c r="I38" i="18"/>
  <c r="L8" i="18"/>
  <c r="L17" i="25"/>
  <c r="R17" i="25" s="1"/>
  <c r="L13" i="2" s="1"/>
  <c r="L14" i="25"/>
  <c r="R14" i="25" s="1"/>
  <c r="L10" i="2" s="1"/>
  <c r="L16" i="22"/>
  <c r="R16" i="22" s="1"/>
  <c r="I12" i="2" s="1"/>
  <c r="L11" i="25"/>
  <c r="R11" i="25" s="1"/>
  <c r="L7" i="2" s="1"/>
  <c r="L16" i="24"/>
  <c r="R16" i="24" s="1"/>
  <c r="K12" i="2" s="1"/>
  <c r="L12" i="22"/>
  <c r="R12" i="22" s="1"/>
  <c r="I8" i="2" s="1"/>
  <c r="I38" i="20"/>
  <c r="L8" i="20"/>
  <c r="L13" i="20"/>
  <c r="R13" i="20" s="1"/>
  <c r="G9" i="2" s="1"/>
  <c r="L11" i="26"/>
  <c r="R11" i="26" s="1"/>
  <c r="M7" i="2" s="1"/>
  <c r="L21" i="18"/>
  <c r="R21" i="18" s="1"/>
  <c r="E17" i="2" s="1"/>
  <c r="L16" i="21"/>
  <c r="R16" i="21" s="1"/>
  <c r="H12" i="2" s="1"/>
  <c r="G38" i="18"/>
  <c r="L15" i="23"/>
  <c r="R15" i="23" s="1"/>
  <c r="J11" i="2" s="1"/>
  <c r="L16" i="20"/>
  <c r="R16" i="20" s="1"/>
  <c r="G12" i="2" s="1"/>
  <c r="H38" i="22"/>
  <c r="L21" i="20"/>
  <c r="R21" i="20" s="1"/>
  <c r="G17" i="2" s="1"/>
  <c r="M38" i="16"/>
  <c r="L17" i="18"/>
  <c r="R17" i="18" s="1"/>
  <c r="E13" i="2" s="1"/>
  <c r="L8" i="22"/>
  <c r="L17" i="21"/>
  <c r="R17" i="21" s="1"/>
  <c r="H13" i="2" s="1"/>
  <c r="J15" i="16"/>
  <c r="I15" i="16"/>
  <c r="L13" i="25"/>
  <c r="R13" i="25" s="1"/>
  <c r="L9" i="2" s="1"/>
  <c r="J10" i="26"/>
  <c r="I10" i="26"/>
  <c r="L10" i="26" s="1"/>
  <c r="R10" i="26" s="1"/>
  <c r="M6" i="2" s="1"/>
  <c r="L17" i="24"/>
  <c r="R17" i="24" s="1"/>
  <c r="K13" i="2" s="1"/>
  <c r="L19" i="24"/>
  <c r="R19" i="24" s="1"/>
  <c r="K15" i="2" s="1"/>
  <c r="L17" i="23"/>
  <c r="R17" i="23" s="1"/>
  <c r="J13" i="2" s="1"/>
  <c r="L12" i="21"/>
  <c r="R12" i="21" s="1"/>
  <c r="H8" i="2" s="1"/>
  <c r="L13" i="21"/>
  <c r="R13" i="21" s="1"/>
  <c r="H9" i="2" s="1"/>
  <c r="J13" i="19"/>
  <c r="I13" i="19"/>
  <c r="I38" i="19" s="1"/>
  <c r="H38" i="21"/>
  <c r="G38" i="26"/>
  <c r="H38" i="18"/>
  <c r="H38" i="23"/>
  <c r="J8" i="23"/>
  <c r="L12" i="19"/>
  <c r="R12" i="19" s="1"/>
  <c r="F8" i="2" s="1"/>
  <c r="L9" i="25"/>
  <c r="R9" i="25" s="1"/>
  <c r="L5" i="2" s="1"/>
  <c r="L18" i="22"/>
  <c r="R18" i="22" s="1"/>
  <c r="I14" i="2" s="1"/>
  <c r="L9" i="15"/>
  <c r="R9" i="15" s="1"/>
  <c r="B5" i="2" s="1"/>
  <c r="L16" i="16"/>
  <c r="R16" i="16" s="1"/>
  <c r="C12" i="2" s="1"/>
  <c r="L19" i="17"/>
  <c r="R19" i="17" s="1"/>
  <c r="D15" i="2" s="1"/>
  <c r="G38" i="21"/>
  <c r="I8" i="21"/>
  <c r="G38" i="23"/>
  <c r="L8" i="19"/>
  <c r="J18" i="17"/>
  <c r="I18" i="17"/>
  <c r="G38" i="16"/>
  <c r="L20" i="23"/>
  <c r="R20" i="23" s="1"/>
  <c r="J16" i="2" s="1"/>
  <c r="L19" i="25"/>
  <c r="R19" i="25" s="1"/>
  <c r="L15" i="2" s="1"/>
  <c r="H38" i="26"/>
  <c r="L10" i="25"/>
  <c r="R10" i="25" s="1"/>
  <c r="L6" i="2" s="1"/>
  <c r="L17" i="26"/>
  <c r="R17" i="26" s="1"/>
  <c r="M13" i="2" s="1"/>
  <c r="L21" i="26"/>
  <c r="R21" i="26" s="1"/>
  <c r="M17" i="2" s="1"/>
  <c r="J9" i="23"/>
  <c r="I9" i="23"/>
  <c r="L17" i="22"/>
  <c r="R17" i="22" s="1"/>
  <c r="I13" i="2" s="1"/>
  <c r="I10" i="21"/>
  <c r="J10" i="21"/>
  <c r="J38" i="21" s="1"/>
  <c r="J10" i="17"/>
  <c r="I10" i="17"/>
  <c r="I38" i="17" s="1"/>
  <c r="G38" i="24"/>
  <c r="L21" i="15"/>
  <c r="R21" i="15" s="1"/>
  <c r="B17" i="2" s="1"/>
  <c r="L10" i="16"/>
  <c r="R10" i="16" s="1"/>
  <c r="C6" i="2" s="1"/>
  <c r="G38" i="20"/>
  <c r="H38" i="16"/>
  <c r="L14" i="24"/>
  <c r="R14" i="24" s="1"/>
  <c r="K10" i="2" s="1"/>
  <c r="L8" i="17"/>
  <c r="L14" i="18"/>
  <c r="R14" i="18" s="1"/>
  <c r="E10" i="2" s="1"/>
  <c r="H38" i="20"/>
  <c r="L16" i="25"/>
  <c r="R16" i="25" s="1"/>
  <c r="L12" i="2" s="1"/>
  <c r="L16" i="17"/>
  <c r="R16" i="17" s="1"/>
  <c r="D12" i="2" s="1"/>
  <c r="L14" i="16"/>
  <c r="R14" i="16" s="1"/>
  <c r="C10" i="2" s="1"/>
  <c r="L19" i="15"/>
  <c r="R19" i="15" s="1"/>
  <c r="B15" i="2" s="1"/>
  <c r="L14" i="15"/>
  <c r="R14" i="15" s="1"/>
  <c r="B10" i="2" s="1"/>
  <c r="L10" i="23"/>
  <c r="R10" i="23" s="1"/>
  <c r="J6" i="2" s="1"/>
  <c r="L18" i="23"/>
  <c r="R18" i="23" s="1"/>
  <c r="J14" i="2" s="1"/>
  <c r="L15" i="15"/>
  <c r="R15" i="15" s="1"/>
  <c r="B11" i="2" s="1"/>
  <c r="J8" i="25"/>
  <c r="J38" i="25" s="1"/>
  <c r="I8" i="25"/>
  <c r="J18" i="26"/>
  <c r="I18" i="26"/>
  <c r="J8" i="26"/>
  <c r="L12" i="25"/>
  <c r="R12" i="25" s="1"/>
  <c r="L8" i="2" s="1"/>
  <c r="L15" i="24"/>
  <c r="R15" i="24" s="1"/>
  <c r="K11" i="2" s="1"/>
  <c r="I21" i="22"/>
  <c r="J21" i="22"/>
  <c r="J38" i="22" s="1"/>
  <c r="L15" i="20"/>
  <c r="R15" i="20" s="1"/>
  <c r="G11" i="2" s="1"/>
  <c r="L21" i="25"/>
  <c r="R21" i="25" s="1"/>
  <c r="L17" i="2" s="1"/>
  <c r="L19" i="22"/>
  <c r="R19" i="22" s="1"/>
  <c r="I15" i="2" s="1"/>
  <c r="L9" i="20"/>
  <c r="R9" i="20" s="1"/>
  <c r="G5" i="2" s="1"/>
  <c r="L13" i="26"/>
  <c r="R13" i="26" s="1"/>
  <c r="M9" i="2" s="1"/>
  <c r="H38" i="25"/>
  <c r="L11" i="16"/>
  <c r="R11" i="16" s="1"/>
  <c r="C7" i="2" s="1"/>
  <c r="L17" i="15"/>
  <c r="R17" i="15" s="1"/>
  <c r="B13" i="2" s="1"/>
  <c r="J8" i="16"/>
  <c r="L15" i="26"/>
  <c r="R15" i="26" s="1"/>
  <c r="M11" i="2" s="1"/>
  <c r="L20" i="25"/>
  <c r="R20" i="25" s="1"/>
  <c r="L16" i="2" s="1"/>
  <c r="I38" i="24"/>
  <c r="L8" i="24"/>
  <c r="L19" i="20"/>
  <c r="R19" i="20" s="1"/>
  <c r="G15" i="2" s="1"/>
  <c r="L20" i="20"/>
  <c r="R20" i="20" s="1"/>
  <c r="G16" i="2" s="1"/>
  <c r="L12" i="20"/>
  <c r="R12" i="20" s="1"/>
  <c r="G8" i="2" s="1"/>
  <c r="L20" i="24"/>
  <c r="R20" i="24" s="1"/>
  <c r="K16" i="2" s="1"/>
  <c r="L19" i="26"/>
  <c r="R19" i="26" s="1"/>
  <c r="M15" i="2" s="1"/>
  <c r="L20" i="16"/>
  <c r="R20" i="16" s="1"/>
  <c r="C16" i="2" s="1"/>
  <c r="L18" i="19"/>
  <c r="R18" i="19" s="1"/>
  <c r="F14" i="2" s="1"/>
  <c r="L9" i="18"/>
  <c r="R9" i="18" s="1"/>
  <c r="E5" i="2" s="1"/>
  <c r="L13" i="24"/>
  <c r="R13" i="24" s="1"/>
  <c r="K9" i="2" s="1"/>
  <c r="G38" i="17"/>
  <c r="L18" i="24"/>
  <c r="R18" i="24" s="1"/>
  <c r="K14" i="2" s="1"/>
  <c r="G38" i="22"/>
  <c r="G38" i="15"/>
  <c r="G38" i="19"/>
  <c r="I8" i="15"/>
  <c r="L9" i="16"/>
  <c r="R9" i="16" s="1"/>
  <c r="C5" i="2" s="1"/>
  <c r="G38" i="25"/>
  <c r="H38" i="17"/>
  <c r="L20" i="26"/>
  <c r="R20" i="26" s="1"/>
  <c r="M16" i="2" s="1"/>
  <c r="H38" i="15"/>
  <c r="H38" i="19"/>
  <c r="P38" i="16"/>
  <c r="M8" i="17"/>
  <c r="J8" i="15"/>
  <c r="J38" i="19" l="1"/>
  <c r="I38" i="16"/>
  <c r="J38" i="20"/>
  <c r="J38" i="18"/>
  <c r="O12" i="2"/>
  <c r="O8" i="2"/>
  <c r="L10" i="17"/>
  <c r="R10" i="17" s="1"/>
  <c r="D6" i="2" s="1"/>
  <c r="J38" i="16"/>
  <c r="J38" i="17"/>
  <c r="L15" i="18"/>
  <c r="R15" i="18" s="1"/>
  <c r="E11" i="2" s="1"/>
  <c r="J38" i="15"/>
  <c r="O7" i="2"/>
  <c r="O18" i="2"/>
  <c r="J38" i="26"/>
  <c r="L8" i="26"/>
  <c r="L9" i="23"/>
  <c r="R9" i="23" s="1"/>
  <c r="J5" i="2" s="1"/>
  <c r="O5" i="2" s="1"/>
  <c r="L8" i="16"/>
  <c r="L18" i="26"/>
  <c r="R18" i="26" s="1"/>
  <c r="M14" i="2" s="1"/>
  <c r="I38" i="26"/>
  <c r="L18" i="17"/>
  <c r="R18" i="17" s="1"/>
  <c r="D14" i="2" s="1"/>
  <c r="J38" i="23"/>
  <c r="L15" i="16"/>
  <c r="R15" i="16" s="1"/>
  <c r="C11" i="2" s="1"/>
  <c r="O13" i="2"/>
  <c r="I38" i="25"/>
  <c r="L8" i="25"/>
  <c r="O10" i="2"/>
  <c r="R8" i="17"/>
  <c r="R8" i="19"/>
  <c r="R8" i="20"/>
  <c r="L38" i="20"/>
  <c r="R8" i="18"/>
  <c r="O15" i="2"/>
  <c r="R8" i="22"/>
  <c r="M38" i="17"/>
  <c r="P8" i="17"/>
  <c r="L21" i="22"/>
  <c r="R21" i="22" s="1"/>
  <c r="I17" i="2" s="1"/>
  <c r="O17" i="2" s="1"/>
  <c r="L10" i="21"/>
  <c r="R10" i="21" s="1"/>
  <c r="H6" i="2" s="1"/>
  <c r="I38" i="22"/>
  <c r="L8" i="23"/>
  <c r="L8" i="15"/>
  <c r="I38" i="15"/>
  <c r="L38" i="24"/>
  <c r="R8" i="24"/>
  <c r="L8" i="21"/>
  <c r="I38" i="21"/>
  <c r="L13" i="19"/>
  <c r="R13" i="19" s="1"/>
  <c r="F9" i="2" s="1"/>
  <c r="O9" i="2" s="1"/>
  <c r="I38" i="23"/>
  <c r="O16" i="2"/>
  <c r="O11" i="2" l="1"/>
  <c r="O6" i="2"/>
  <c r="L38" i="22"/>
  <c r="L38" i="17"/>
  <c r="L38" i="18"/>
  <c r="R38" i="24"/>
  <c r="K4" i="2"/>
  <c r="K34" i="2" s="1"/>
  <c r="R38" i="18"/>
  <c r="E4" i="2"/>
  <c r="E34" i="2" s="1"/>
  <c r="L38" i="25"/>
  <c r="R8" i="25"/>
  <c r="L38" i="16"/>
  <c r="R8" i="16"/>
  <c r="M8" i="18"/>
  <c r="P38" i="17"/>
  <c r="L38" i="21"/>
  <c r="R8" i="21"/>
  <c r="R38" i="20"/>
  <c r="G4" i="2"/>
  <c r="G34" i="2" s="1"/>
  <c r="L38" i="15"/>
  <c r="R8" i="15"/>
  <c r="R38" i="19"/>
  <c r="F4" i="2"/>
  <c r="F34" i="2" s="1"/>
  <c r="R8" i="26"/>
  <c r="L38" i="26"/>
  <c r="L38" i="23"/>
  <c r="R8" i="23"/>
  <c r="R38" i="22"/>
  <c r="I4" i="2"/>
  <c r="I34" i="2" s="1"/>
  <c r="L38" i="19"/>
  <c r="R38" i="17"/>
  <c r="D4" i="2"/>
  <c r="D34" i="2" s="1"/>
  <c r="O14" i="2"/>
  <c r="R38" i="15" l="1"/>
  <c r="B4" i="2"/>
  <c r="R38" i="16"/>
  <c r="C4" i="2"/>
  <c r="C34" i="2" s="1"/>
  <c r="R38" i="23"/>
  <c r="J4" i="2"/>
  <c r="J34" i="2" s="1"/>
  <c r="R38" i="25"/>
  <c r="L4" i="2"/>
  <c r="L34" i="2" s="1"/>
  <c r="R38" i="21"/>
  <c r="H4" i="2"/>
  <c r="H34" i="2" s="1"/>
  <c r="R38" i="26"/>
  <c r="M4" i="2"/>
  <c r="M34" i="2" s="1"/>
  <c r="P8" i="18"/>
  <c r="M38" i="18"/>
  <c r="M8" i="19" l="1"/>
  <c r="P38" i="18"/>
  <c r="B34" i="2"/>
  <c r="O4" i="2"/>
  <c r="O34" i="2" s="1"/>
  <c r="P8" i="19" l="1"/>
  <c r="M38" i="19"/>
  <c r="M8" i="20" l="1"/>
  <c r="P38" i="19"/>
  <c r="P8" i="20" l="1"/>
  <c r="M38" i="20"/>
  <c r="M8" i="21" l="1"/>
  <c r="P38" i="20"/>
  <c r="M38" i="21" l="1"/>
  <c r="P8" i="21"/>
  <c r="P38" i="21" l="1"/>
  <c r="M8" i="22"/>
  <c r="M38" i="22" l="1"/>
  <c r="P8" i="22"/>
  <c r="M8" i="23" l="1"/>
  <c r="P38" i="22"/>
  <c r="M38" i="23" l="1"/>
  <c r="P8" i="23"/>
  <c r="M8" i="24" l="1"/>
  <c r="P38" i="23"/>
  <c r="M38" i="24" l="1"/>
  <c r="P8" i="24"/>
  <c r="M8" i="25" l="1"/>
  <c r="P38" i="24"/>
  <c r="P8" i="25" l="1"/>
  <c r="M38" i="25"/>
  <c r="P38" i="25" l="1"/>
  <c r="M8" i="26"/>
  <c r="M38" i="26" l="1"/>
  <c r="P8" i="26"/>
  <c r="P38" i="26" s="1"/>
</calcChain>
</file>

<file path=xl/sharedStrings.xml><?xml version="1.0" encoding="utf-8"?>
<sst xmlns="http://schemas.openxmlformats.org/spreadsheetml/2006/main" count="1352" uniqueCount="143">
  <si>
    <t>⚙  ATTENDANCE &amp; PAYROLL SETUP — 2026</t>
  </si>
  <si>
    <t>GLOBAL SETTINGS</t>
  </si>
  <si>
    <t>PUBLIC HOLIDAYS (Optional)</t>
  </si>
  <si>
    <t>Year</t>
  </si>
  <si>
    <t>Date</t>
  </si>
  <si>
    <t>Holiday Name</t>
  </si>
  <si>
    <t>Paid?</t>
  </si>
  <si>
    <t>Shift Start (HH:MM)</t>
  </si>
  <si>
    <t>08:00</t>
  </si>
  <si>
    <t>Shift End   (HH:MM)</t>
  </si>
  <si>
    <t>17:00</t>
  </si>
  <si>
    <t>Break (minutes)</t>
  </si>
  <si>
    <t>Paid Hours / Day</t>
  </si>
  <si>
    <t>ℹ Standard paid hours per WORK day</t>
  </si>
  <si>
    <t>OT Multiplier</t>
  </si>
  <si>
    <t>ℹ e.g. 1.5 = time-and-a-half</t>
  </si>
  <si>
    <t>Attendance Bonus (PKR)</t>
  </si>
  <si>
    <t>ℹ Monthly bonus for zero absences</t>
  </si>
  <si>
    <t>EMPLOYEE MASTER LIST  (add new employees below — sheets update automatically)</t>
  </si>
  <si>
    <t>#</t>
  </si>
  <si>
    <t>Employee Name</t>
  </si>
  <si>
    <t>Monthly Salary (PKR)</t>
  </si>
  <si>
    <t>Position / Role</t>
  </si>
  <si>
    <t>Department</t>
  </si>
  <si>
    <t>Sheraz</t>
  </si>
  <si>
    <t>Zain</t>
  </si>
  <si>
    <t>Yousaf</t>
  </si>
  <si>
    <t>Hamza</t>
  </si>
  <si>
    <t>Amjad</t>
  </si>
  <si>
    <t>Tanveer</t>
  </si>
  <si>
    <t>Ali Zaman</t>
  </si>
  <si>
    <t>Awais Ali</t>
  </si>
  <si>
    <t>Ishtiaq</t>
  </si>
  <si>
    <t>Ahtisham</t>
  </si>
  <si>
    <t>TOTAL PAYROLL BUDGET (PKR)</t>
  </si>
  <si>
    <t>💡  HOW TO USE:
  • Add new employee: type Name in col B and Salary in col C → auto-appears in ALL attendance &amp; payroll sheets
  • Fill daily attendance hours in each month's sheet (blue cells)
  • Payroll sheets calculate automatically — no manual formulas needed</t>
  </si>
  <si>
    <t>📊  ANNUAL PAYROLL SUMMARY — 2026</t>
  </si>
  <si>
    <t>Employee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</si>
  <si>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</si>
  <si>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</si>
  <si>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</si>
  <si>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</si>
  <si>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</si>
  <si>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</si>
  <si>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</si>
  <si>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</si>
  <si>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</si>
  <si>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</si>
  <si>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</si>
  <si>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</si>
  <si>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Total</t>
  </si>
  <si>
    <t>Monthly Total</t>
  </si>
  <si>
    <t>📅  DAILY ATTENDANCE — JANUARY 2026</t>
  </si>
  <si>
    <t>Month</t>
  </si>
  <si>
    <t>January 2026</t>
  </si>
  <si>
    <t>Paid Hours/Day</t>
  </si>
  <si>
    <t>Required Working Hours</t>
  </si>
  <si>
    <t>Day</t>
  </si>
  <si>
    <t>Type</t>
  </si>
  <si>
    <t>Req Hrs</t>
  </si>
  <si>
    <t>Thu</t>
  </si>
  <si>
    <t>WORK</t>
  </si>
  <si>
    <t>Fri</t>
  </si>
  <si>
    <t>Sat</t>
  </si>
  <si>
    <t>OFF</t>
  </si>
  <si>
    <t>Mon</t>
  </si>
  <si>
    <t>Tue</t>
  </si>
  <si>
    <t>Wed</t>
  </si>
  <si>
    <t>TOTALS</t>
  </si>
  <si>
    <t>Absent Days (WORK days with 0 hrs)</t>
  </si>
  <si>
    <t>📅  DAILY ATTENDANCE — FEBRUARY 2026</t>
  </si>
  <si>
    <t>February 2026</t>
  </si>
  <si>
    <t>📅  DAILY ATTENDANCE — MARCH 2026</t>
  </si>
  <si>
    <t>March 2026</t>
  </si>
  <si>
    <t>📅  DAILY ATTENDANCE — APRIL 2026</t>
  </si>
  <si>
    <t>April 2026</t>
  </si>
  <si>
    <t>📅  DAILY ATTENDANCE — MAY 2026</t>
  </si>
  <si>
    <t>May 2026</t>
  </si>
  <si>
    <t>📅  DAILY ATTENDANCE — JUNE 2026</t>
  </si>
  <si>
    <t>June 2026</t>
  </si>
  <si>
    <t>📅  DAILY ATTENDANCE — JULY 2026</t>
  </si>
  <si>
    <t>July 2026</t>
  </si>
  <si>
    <t>📅  DAILY ATTENDANCE — AUGUST 2026</t>
  </si>
  <si>
    <t>August 2026</t>
  </si>
  <si>
    <t>📅  DAILY ATTENDANCE — SEPTEMBER 2026</t>
  </si>
  <si>
    <t>September 2026</t>
  </si>
  <si>
    <t>📅  DAILY ATTENDANCE — OCTOBER 2026</t>
  </si>
  <si>
    <t>October 2026</t>
  </si>
  <si>
    <t>📅  DAILY ATTENDANCE — NOVEMBER 2026</t>
  </si>
  <si>
    <t>November 2026</t>
  </si>
  <si>
    <t>📅  DAILY ATTENDANCE — DECEMBER 2026</t>
  </si>
  <si>
    <t>December 2026</t>
  </si>
  <si>
    <t>💰  PAYROLL — JANUARY 2026</t>
  </si>
  <si>
    <t>Attendance Sheet</t>
  </si>
  <si>
    <t>Attendance_Jan</t>
  </si>
  <si>
    <t>Required Monthly Hours</t>
  </si>
  <si>
    <t>Monthly
Salary (PKR)</t>
  </si>
  <si>
    <t>Required
Hrs</t>
  </si>
  <si>
    <t>Worked
Hrs</t>
  </si>
  <si>
    <t>Absent
Days</t>
  </si>
  <si>
    <t>Hourly
Rate</t>
  </si>
  <si>
    <t>Regular
Hrs</t>
  </si>
  <si>
    <t>OT Hrs</t>
  </si>
  <si>
    <t>Regular Pay
(PKR)</t>
  </si>
  <si>
    <t>OT Pay
(PKR)</t>
  </si>
  <si>
    <t>Attendance
Bonus</t>
  </si>
  <si>
    <t>Gross Pay
(PKR)</t>
  </si>
  <si>
    <t>Adv Begin
(PKR)</t>
  </si>
  <si>
    <t>New Advance
(PKR)</t>
  </si>
  <si>
    <t>Adv Deduct
(PKR)</t>
  </si>
  <si>
    <t>Adv End
(PKR)</t>
  </si>
  <si>
    <t>Other Ded.
(PKR)</t>
  </si>
  <si>
    <t>Net Pay
(PKR)</t>
  </si>
  <si>
    <t>TOTAL</t>
  </si>
  <si>
    <t>🔵 Blue = Manual Input (name/salary in Setup)  🟡 Yellow = Advance &amp; Deduction Fields (enter here)  🟢 Green = Auto-Calculated  Net Pay = Gross − Adv Deduct − Other Deductions</t>
  </si>
  <si>
    <t>💰  PAYROLL — FEBRUARY 2026</t>
  </si>
  <si>
    <t>Attendance_Feb</t>
  </si>
  <si>
    <t>💰  PAYROLL — MARCH 2026</t>
  </si>
  <si>
    <t>Attendance_Mar</t>
  </si>
  <si>
    <t>💰  PAYROLL — APRIL 2026</t>
  </si>
  <si>
    <t>Attendance_Apr</t>
  </si>
  <si>
    <t>💰  PAYROLL — MAY 2026</t>
  </si>
  <si>
    <t>Attendance_May</t>
  </si>
  <si>
    <t>💰  PAYROLL — JUNE 2026</t>
  </si>
  <si>
    <t>Attendance_Jun</t>
  </si>
  <si>
    <t>💰  PAYROLL — JULY 2026</t>
  </si>
  <si>
    <t>Attendance_Jul</t>
  </si>
  <si>
    <t>💰  PAYROLL — AUGUST 2026</t>
  </si>
  <si>
    <t>Attendance_Aug</t>
  </si>
  <si>
    <t>💰  PAYROLL — SEPTEMBER 2026</t>
  </si>
  <si>
    <t>Attendance_Sep</t>
  </si>
  <si>
    <t>💰  PAYROLL — OCTOBER 2026</t>
  </si>
  <si>
    <t>Attendance_Oct</t>
  </si>
  <si>
    <t>💰  PAYROLL — NOVEMBER 2026</t>
  </si>
  <si>
    <t>Attendance_Nov</t>
  </si>
  <si>
    <t>💰  PAYROLL — DECEMBER 2026</t>
  </si>
  <si>
    <t>Attendance_Dec</t>
  </si>
  <si>
    <t>Usama bhai</t>
  </si>
  <si>
    <t>Factory rent</t>
  </si>
  <si>
    <t>Internet bill</t>
  </si>
  <si>
    <t>A</t>
  </si>
  <si>
    <t xml:space="preserve"> </t>
  </si>
  <si>
    <t>Saqab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</si>
</sst>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9"/>
      <color rgb="FF888888"/>
      <name val="Arial"/>
      <charset val="1"/>
    </font>
    <font>
      <b/>
      <sz val="10"/>
      <color rgb="FF1F3864"/>
      <name val="Arial"/>
      <charset val="1"/>
    </font>
    <font>
      <b/>
      <sz val="11"/>
      <color rgb="FF1F3864"/>
      <name val="Arial"/>
      <charset val="1"/>
    </font>
    <font>
      <sz val="9"/>
      <color rgb="FF444444"/>
      <name val="Arial"/>
      <charset val="1"/>
    </font>
    <font>
      <b/>
      <sz val="13"/>
      <color rgb="FFFFFFFF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B050"/>
      <name val="Arial"/>
      <charset val="1"/>
    </font>
    <font>
      <sz val="9"/>
      <color rgb="FF0000FF"/>
      <name val="Arial"/>
      <charset val="1"/>
    </font>
    <font>
      <b/>
      <sz val="9"/>
      <color rgb="FF9900CC"/>
      <name val="Arial"/>
      <charset val="1"/>
    </font>
    <font>
      <sz val="9"/>
      <color rgb="FFAAAAAA"/>
      <name val="Arial"/>
      <charset val="1"/>
    </font>
    <font>
      <b/>
      <sz val="9"/>
      <color rgb="FFCC0000"/>
      <name val="Arial"/>
      <charset val="1"/>
    </font>
    <font>
      <b/>
      <sz val="10"/>
      <color rgb="FF00B05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0E6FF"/>
      </patternFill>
    </fill>
    <fill>
      <patternFill patternType="solid">
        <fgColor rgb="FFFFFFFF"/>
        <bgColor rgb="FFFFF9E6"/>
      </patternFill>
    </fill>
    <fill>
      <patternFill patternType="solid">
        <fgColor rgb="FFD6E4F7"/>
        <bgColor rgb="FFF0E6FF"/>
      </patternFill>
    </fill>
    <fill>
      <patternFill patternType="solid">
        <fgColor rgb="FFFFF9E6"/>
        <bgColor rgb="FFFFFFFF"/>
      </patternFill>
    </fill>
    <fill>
      <patternFill patternType="solid">
        <fgColor rgb="FFF0E6FF"/>
        <bgColor rgb="FFEBF3FB"/>
      </patternFill>
    </fill>
    <fill>
      <patternFill patternType="solid">
        <fgColor rgb="FFFFE6E6"/>
        <bgColor rgb="FFF0E6FF"/>
      </patternFill>
    </fill>
    <fill>
      <patternFill patternType="solid">
        <fgColor rgb="FFFFF2CC"/>
        <bgColor rgb="FFFFF9E6"/>
      </patternFill>
    </fill>
    <fill>
      <patternFill patternType="solid">
        <fgColor rgb="FF1F6B00"/>
        <bgColor rgb="FF444444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3" fontId="12" fillId="4" borderId="1" xfId="0" applyNumberFormat="1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12" fillId="5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5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2" fontId="16" fillId="4" borderId="1" xfId="0" applyNumberFormat="1" applyFont="1" applyFill="1" applyBorder="1" applyAlignment="1">
      <alignment horizontal="center" vertical="center"/>
    </xf>
    <xf numFmtId="15" fontId="14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" fontId="14" fillId="5" borderId="1" xfId="0" applyNumberFormat="1" applyFont="1" applyFill="1" applyBorder="1" applyAlignment="1">
      <alignment horizontal="center" vertical="center"/>
    </xf>
    <xf numFmtId="2" fontId="16" fillId="5" borderId="1" xfId="0" applyNumberFormat="1" applyFont="1" applyFill="1" applyBorder="1" applyAlignment="1">
      <alignment horizontal="center" vertical="center"/>
    </xf>
    <xf numFmtId="15" fontId="14" fillId="8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1" fontId="14" fillId="8" borderId="1" xfId="0" applyNumberFormat="1" applyFont="1" applyFill="1" applyBorder="1" applyAlignment="1">
      <alignment horizontal="center" vertical="center"/>
    </xf>
    <xf numFmtId="2" fontId="18" fillId="8" borderId="1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3" fontId="20" fillId="4" borderId="1" xfId="0" applyNumberFormat="1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2" fontId="12" fillId="4" borderId="1" xfId="0" applyNumberFormat="1" applyFont="1" applyFill="1" applyBorder="1" applyAlignment="1">
      <alignment horizontal="center" vertical="center"/>
    </xf>
    <xf numFmtId="4" fontId="12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3" fontId="6" fillId="10" borderId="1" xfId="0" applyNumberFormat="1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3" fontId="20" fillId="5" borderId="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2" fontId="12" fillId="5" borderId="1" xfId="0" applyNumberFormat="1" applyFont="1" applyFill="1" applyBorder="1" applyAlignment="1">
      <alignment horizontal="center" vertical="center"/>
    </xf>
    <xf numFmtId="4" fontId="12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1F6B00"/>
      <rgbColor rgb="FF000080"/>
      <rgbColor rgb="FF808000"/>
      <rgbColor rgb="FF9900CC"/>
      <rgbColor rgb="FF008080"/>
      <rgbColor rgb="FFB0C4DE"/>
      <rgbColor rgb="FF888888"/>
      <rgbColor rgb="FF9999FF"/>
      <rgbColor rgb="FF993366"/>
      <rgbColor rgb="FFFFF9E6"/>
      <rgbColor rgb="FFEBF3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6FF"/>
      <rgbColor rgb="FFCCFFCC"/>
      <rgbColor rgb="FFFFF2CC"/>
      <rgbColor rgb="FF99CCFF"/>
      <rgbColor rgb="FFFF99CC"/>
      <rgbColor rgb="FFCC99FF"/>
      <rgbColor rgb="FFFFE6E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00B050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J47"/>
  <sheetViews>
    <sheetView showGridLines="0" zoomScaleNormal="100" workbookViewId="0">
      <pane ySplit="1" topLeftCell="A13" activePane="bottomLeft" state="frozen"/>
      <selection pane="bottomLeft" activeCell="C16" sqref="C16"/>
    </sheetView>
  </sheetViews>
  <sheetFormatPr defaultColWidth="8.5546875" defaultRowHeight="14.4" x14ac:dyDescent="0.3"/>
  <cols>
    <col min="1" max="1" width="26" customWidth="1"/>
    <col min="2" max="2" width="22" customWidth="1"/>
    <col min="3" max="3" width="20" customWidth="1"/>
    <col min="4" max="4" width="4" customWidth="1"/>
    <col min="5" max="5" width="18" customWidth="1"/>
    <col min="6" max="6" width="24" customWidth="1"/>
    <col min="7" max="7" width="10" customWidth="1"/>
    <col min="8" max="8" width="16" customWidth="1"/>
    <col min="9" max="9" width="24" customWidth="1"/>
    <col min="10" max="10" width="10" customWidth="1"/>
  </cols>
  <sheetData>
    <row r="1" spans="1:10" ht="36" customHeight="1" x14ac:dyDescent="0.3">
      <c r="A1" s="58" t="s">
        <v>0</v>
      </c>
      <c r="B1" s="58"/>
      <c r="C1" s="58"/>
      <c r="D1" s="58"/>
      <c r="E1" s="58"/>
      <c r="F1" s="58"/>
    </row>
    <row r="2" spans="1:10" ht="7.5" customHeight="1" x14ac:dyDescent="0.3"/>
    <row r="3" spans="1:10" ht="24" customHeight="1" x14ac:dyDescent="0.3">
      <c r="A3" s="59" t="s">
        <v>1</v>
      </c>
      <c r="B3" s="59"/>
      <c r="C3" s="59"/>
      <c r="H3" s="59" t="s">
        <v>2</v>
      </c>
      <c r="I3" s="59"/>
      <c r="J3" s="59"/>
    </row>
    <row r="4" spans="1:10" ht="21.75" customHeight="1" x14ac:dyDescent="0.3">
      <c r="A4" s="1" t="s">
        <v>3</v>
      </c>
      <c r="B4" s="2">
        <v>2026</v>
      </c>
      <c r="H4" s="3" t="s">
        <v>4</v>
      </c>
      <c r="I4" s="3" t="s">
        <v>5</v>
      </c>
      <c r="J4" s="3" t="s">
        <v>6</v>
      </c>
    </row>
    <row r="5" spans="1:10" ht="21.75" customHeight="1" x14ac:dyDescent="0.3">
      <c r="A5" s="1" t="s">
        <v>7</v>
      </c>
      <c r="B5" s="2" t="s">
        <v>8</v>
      </c>
      <c r="H5" s="4"/>
      <c r="I5" s="4"/>
      <c r="J5" s="4"/>
    </row>
    <row r="6" spans="1:10" ht="21.75" customHeight="1" x14ac:dyDescent="0.3">
      <c r="A6" s="1" t="s">
        <v>9</v>
      </c>
      <c r="B6" s="2" t="s">
        <v>10</v>
      </c>
      <c r="H6" s="5"/>
      <c r="I6" s="5"/>
      <c r="J6" s="5"/>
    </row>
    <row r="7" spans="1:10" ht="21.75" customHeight="1" x14ac:dyDescent="0.3">
      <c r="A7" s="1" t="s">
        <v>11</v>
      </c>
      <c r="B7" s="2">
        <v>60</v>
      </c>
      <c r="H7" s="4"/>
      <c r="I7" s="4"/>
      <c r="J7" s="4"/>
    </row>
    <row r="8" spans="1:10" ht="21.75" customHeight="1" x14ac:dyDescent="0.3">
      <c r="A8" s="1" t="s">
        <v>12</v>
      </c>
      <c r="B8" s="2">
        <v>8</v>
      </c>
      <c r="C8" s="6" t="s">
        <v>13</v>
      </c>
      <c r="H8" s="5"/>
      <c r="I8" s="5"/>
      <c r="J8" s="5"/>
    </row>
    <row r="9" spans="1:10" ht="21.75" customHeight="1" x14ac:dyDescent="0.3">
      <c r="A9" s="1" t="s">
        <v>14</v>
      </c>
      <c r="B9" s="2">
        <v>1.5</v>
      </c>
      <c r="C9" s="6" t="s">
        <v>15</v>
      </c>
      <c r="H9" s="4"/>
      <c r="I9" s="4"/>
      <c r="J9" s="4"/>
    </row>
    <row r="10" spans="1:10" ht="21.75" customHeight="1" x14ac:dyDescent="0.3">
      <c r="A10" s="1" t="s">
        <v>16</v>
      </c>
      <c r="B10" s="2">
        <v>0</v>
      </c>
      <c r="C10" s="6" t="s">
        <v>17</v>
      </c>
      <c r="H10" s="5"/>
      <c r="I10" s="5"/>
      <c r="J10" s="5"/>
    </row>
    <row r="11" spans="1:10" ht="7.5" customHeight="1" x14ac:dyDescent="0.3">
      <c r="H11" s="4"/>
      <c r="I11" s="4"/>
      <c r="J11" s="4"/>
    </row>
    <row r="12" spans="1:10" ht="7.5" customHeight="1" x14ac:dyDescent="0.3">
      <c r="H12" s="5"/>
      <c r="I12" s="5"/>
      <c r="J12" s="5"/>
    </row>
    <row r="13" spans="1:10" ht="24" customHeight="1" x14ac:dyDescent="0.3">
      <c r="A13" s="59" t="s">
        <v>18</v>
      </c>
      <c r="B13" s="59"/>
      <c r="C13" s="59"/>
      <c r="D13" s="59"/>
      <c r="E13" s="59"/>
      <c r="F13" s="59"/>
      <c r="H13" s="4"/>
      <c r="I13" s="4"/>
      <c r="J13" s="4"/>
    </row>
    <row r="14" spans="1:10" ht="24" customHeight="1" x14ac:dyDescent="0.3">
      <c r="A14" s="3" t="s">
        <v>19</v>
      </c>
      <c r="B14" s="3" t="s">
        <v>20</v>
      </c>
      <c r="C14" s="3" t="s">
        <v>21</v>
      </c>
      <c r="D14" s="3"/>
      <c r="E14" s="3" t="s">
        <v>22</v>
      </c>
      <c r="F14" s="3" t="s">
        <v>23</v>
      </c>
      <c r="H14" s="5"/>
      <c r="I14" s="5"/>
      <c r="J14" s="5"/>
    </row>
    <row r="15" spans="1:10" ht="19.5" customHeight="1" x14ac:dyDescent="0.3">
      <c r="A15" s="7">
        <v>1</v>
      </c>
      <c r="B15" s="8" t="s">
        <v>24</v>
      </c>
      <c r="C15" s="9">
        <v>38000</v>
      </c>
      <c r="E15" s="8"/>
      <c r="F15" s="8"/>
      <c r="H15" s="4"/>
      <c r="I15" s="4"/>
      <c r="J15" s="4"/>
    </row>
    <row r="16" spans="1:10" ht="19.5" customHeight="1" x14ac:dyDescent="0.3">
      <c r="A16" s="10">
        <v>2</v>
      </c>
      <c r="B16" s="11" t="s">
        <v>25</v>
      </c>
      <c r="C16" s="12">
        <v>53000</v>
      </c>
      <c r="E16" s="11"/>
      <c r="F16" s="11"/>
      <c r="H16" s="5"/>
      <c r="I16" s="5"/>
      <c r="J16" s="5"/>
    </row>
    <row r="17" spans="1:10" ht="19.5" customHeight="1" x14ac:dyDescent="0.3">
      <c r="A17" s="7">
        <v>3</v>
      </c>
      <c r="B17" s="8" t="s">
        <v>26</v>
      </c>
      <c r="C17" s="9">
        <v>28000</v>
      </c>
      <c r="E17" s="8"/>
      <c r="F17" s="8"/>
      <c r="H17" s="4"/>
      <c r="I17" s="4"/>
      <c r="J17" s="4"/>
    </row>
    <row r="18" spans="1:10" ht="19.5" customHeight="1" x14ac:dyDescent="0.3">
      <c r="A18" s="10">
        <v>4</v>
      </c>
      <c r="B18" s="11" t="s">
        <v>27</v>
      </c>
      <c r="C18" s="12">
        <v>25000</v>
      </c>
      <c r="E18" s="11"/>
      <c r="F18" s="11"/>
      <c r="H18" s="5"/>
      <c r="I18" s="5"/>
      <c r="J18" s="5"/>
    </row>
    <row r="19" spans="1:10" ht="19.5" customHeight="1" x14ac:dyDescent="0.3">
      <c r="A19" s="7">
        <v>5</v>
      </c>
      <c r="B19" s="8" t="s">
        <v>28</v>
      </c>
      <c r="C19" s="9">
        <v>25000</v>
      </c>
      <c r="E19" s="8"/>
      <c r="F19" s="8"/>
      <c r="H19" s="4"/>
      <c r="I19" s="4"/>
      <c r="J19" s="4"/>
    </row>
    <row r="20" spans="1:10" ht="19.5" customHeight="1" x14ac:dyDescent="0.3">
      <c r="A20" s="10">
        <v>6</v>
      </c>
      <c r="B20" s="11" t="s">
        <v>29</v>
      </c>
      <c r="C20" s="12">
        <v>25000</v>
      </c>
      <c r="E20" s="11"/>
      <c r="F20" s="11"/>
    </row>
    <row r="21" spans="1:10" ht="19.5" customHeight="1" x14ac:dyDescent="0.3">
      <c r="A21" s="7">
        <v>7</v>
      </c>
      <c r="B21" s="8" t="s">
        <v>30</v>
      </c>
      <c r="C21" s="9">
        <v>75000</v>
      </c>
      <c r="E21" s="8"/>
      <c r="F21" s="8"/>
    </row>
    <row r="22" spans="1:10" ht="19.5" customHeight="1" x14ac:dyDescent="0.3">
      <c r="A22" s="10">
        <v>8</v>
      </c>
      <c r="B22" s="11" t="s">
        <v>31</v>
      </c>
      <c r="C22" s="12">
        <v>25000</v>
      </c>
      <c r="E22" s="11"/>
      <c r="F22" s="11"/>
    </row>
    <row r="23" spans="1:10" ht="19.5" customHeight="1" x14ac:dyDescent="0.3">
      <c r="A23" s="7">
        <v>9</v>
      </c>
      <c r="B23" s="8" t="s">
        <v>32</v>
      </c>
      <c r="C23" s="9">
        <v>25000</v>
      </c>
      <c r="E23" s="8"/>
      <c r="F23" s="8"/>
    </row>
    <row r="24" spans="1:10" ht="19.5" customHeight="1" x14ac:dyDescent="0.3">
      <c r="A24" s="10">
        <v>10</v>
      </c>
      <c r="B24" s="11" t="s">
        <v>137</v>
      </c>
      <c r="C24" s="12">
        <v>50000</v>
      </c>
      <c r="E24" s="11"/>
      <c r="F24" s="11"/>
    </row>
    <row r="25" spans="1:10" ht="19.5" customHeight="1" x14ac:dyDescent="0.3">
      <c r="A25" s="7">
        <v>11</v>
      </c>
      <c r="B25" s="8" t="s">
        <v>33</v>
      </c>
      <c r="C25" s="9">
        <v>10000</v>
      </c>
      <c r="E25" s="8"/>
      <c r="F25" s="8"/>
    </row>
    <row r="26" spans="1:10" ht="19.5" customHeight="1" x14ac:dyDescent="0.3">
      <c r="A26" s="10">
        <v>12</v>
      </c>
      <c r="B26" s="11" t="s">
        <v>138</v>
      </c>
      <c r="C26" s="12">
        <v>77000</v>
      </c>
      <c r="E26" s="11"/>
      <c r="F26" s="11"/>
    </row>
    <row r="27" spans="1:10" ht="19.5" customHeight="1" x14ac:dyDescent="0.3">
      <c r="A27" s="7">
        <v>13</v>
      </c>
      <c r="B27" s="8" t="s">
        <v>139</v>
      </c>
      <c r="C27" s="9">
        <v>2500</v>
      </c>
      <c r="E27" s="8"/>
      <c r="F27" s="8"/>
    </row>
    <row r="28" spans="1:10" ht="19.5" customHeight="1" x14ac:dyDescent="0.3">
      <c r="A28" s="10">
        <v>14</v>
      </c>
      <c r="B28" s="11" t="s">
        <v>142</v>
      </c>
      <c r="C28" s="9">
        <v>25000</v>
      </c>
      <c r="E28" s="11"/>
      <c r="F28" s="11"/>
    </row>
    <row r="29" spans="1:10" ht="19.5" customHeight="1" x14ac:dyDescent="0.3">
      <c r="A29" s="7">
        <v>15</v>
      </c>
      <c r="B29" s="8"/>
      <c r="C29" s="9"/>
      <c r="E29" s="8"/>
      <c r="F29" s="8"/>
    </row>
    <row r="30" spans="1:10" ht="19.5" customHeight="1" x14ac:dyDescent="0.3">
      <c r="A30" s="10">
        <v>16</v>
      </c>
      <c r="B30" s="11"/>
      <c r="C30" s="12"/>
      <c r="E30" s="11"/>
      <c r="F30" s="11"/>
    </row>
    <row r="31" spans="1:10" ht="19.5" customHeight="1" x14ac:dyDescent="0.3">
      <c r="A31" s="7">
        <v>17</v>
      </c>
      <c r="B31" s="8"/>
      <c r="C31" s="9"/>
      <c r="E31" s="8"/>
      <c r="F31" s="8"/>
    </row>
    <row r="32" spans="1:10" ht="19.5" customHeight="1" x14ac:dyDescent="0.3">
      <c r="A32" s="10">
        <v>18</v>
      </c>
      <c r="B32" s="11"/>
      <c r="C32" s="12"/>
      <c r="E32" s="11"/>
      <c r="F32" s="11"/>
    </row>
    <row r="33" spans="1:6" ht="19.5" customHeight="1" x14ac:dyDescent="0.3">
      <c r="A33" s="7">
        <v>19</v>
      </c>
      <c r="B33" s="8"/>
      <c r="C33" s="9"/>
      <c r="E33" s="8"/>
      <c r="F33" s="8"/>
    </row>
    <row r="34" spans="1:6" ht="19.5" customHeight="1" x14ac:dyDescent="0.3">
      <c r="A34" s="10">
        <v>20</v>
      </c>
      <c r="B34" s="11"/>
      <c r="C34" s="12"/>
      <c r="E34" s="11"/>
      <c r="F34" s="11"/>
    </row>
    <row r="35" spans="1:6" ht="19.5" customHeight="1" x14ac:dyDescent="0.3">
      <c r="A35" s="7">
        <v>21</v>
      </c>
      <c r="B35" s="8"/>
      <c r="C35" s="9"/>
      <c r="E35" s="8"/>
      <c r="F35" s="8"/>
    </row>
    <row r="36" spans="1:6" ht="19.5" customHeight="1" x14ac:dyDescent="0.3">
      <c r="A36" s="10">
        <v>22</v>
      </c>
      <c r="B36" s="11"/>
      <c r="C36" s="12"/>
      <c r="E36" s="11"/>
      <c r="F36" s="11"/>
    </row>
    <row r="37" spans="1:6" ht="19.5" customHeight="1" x14ac:dyDescent="0.3">
      <c r="A37" s="7">
        <v>23</v>
      </c>
      <c r="B37" s="8"/>
      <c r="C37" s="9"/>
      <c r="E37" s="8"/>
      <c r="F37" s="8"/>
    </row>
    <row r="38" spans="1:6" ht="19.5" customHeight="1" x14ac:dyDescent="0.3">
      <c r="A38" s="10">
        <v>24</v>
      </c>
      <c r="B38" s="11"/>
      <c r="C38" s="12"/>
      <c r="E38" s="11"/>
      <c r="F38" s="11"/>
    </row>
    <row r="39" spans="1:6" ht="19.5" customHeight="1" x14ac:dyDescent="0.3">
      <c r="A39" s="7">
        <v>25</v>
      </c>
      <c r="B39" s="8"/>
      <c r="C39" s="9"/>
      <c r="E39" s="8"/>
      <c r="F39" s="8"/>
    </row>
    <row r="40" spans="1:6" ht="19.5" customHeight="1" x14ac:dyDescent="0.3">
      <c r="A40" s="10">
        <v>26</v>
      </c>
      <c r="B40" s="11"/>
      <c r="C40" s="12"/>
      <c r="E40" s="11"/>
      <c r="F40" s="11"/>
    </row>
    <row r="41" spans="1:6" ht="19.5" customHeight="1" x14ac:dyDescent="0.3">
      <c r="A41" s="7">
        <v>27</v>
      </c>
      <c r="B41" s="8"/>
      <c r="C41" s="9"/>
      <c r="E41" s="8"/>
      <c r="F41" s="8"/>
    </row>
    <row r="42" spans="1:6" ht="19.5" customHeight="1" x14ac:dyDescent="0.3">
      <c r="A42" s="10">
        <v>28</v>
      </c>
      <c r="B42" s="11"/>
      <c r="C42" s="12"/>
      <c r="E42" s="11"/>
      <c r="F42" s="11"/>
    </row>
    <row r="43" spans="1:6" ht="19.5" customHeight="1" x14ac:dyDescent="0.3">
      <c r="A43" s="7">
        <v>29</v>
      </c>
      <c r="B43" s="8"/>
      <c r="C43" s="9"/>
      <c r="E43" s="8"/>
      <c r="F43" s="8"/>
    </row>
    <row r="44" spans="1:6" ht="19.5" customHeight="1" x14ac:dyDescent="0.3">
      <c r="A44" s="10">
        <v>30</v>
      </c>
      <c r="B44" s="11"/>
      <c r="C44" s="12"/>
      <c r="E44" s="11"/>
      <c r="F44" s="11"/>
    </row>
    <row r="45" spans="1:6" ht="24" customHeight="1" x14ac:dyDescent="0.3">
      <c r="A45" s="60" t="s">
        <v>34</v>
      </c>
      <c r="B45" s="60"/>
      <c r="C45" s="14">
        <f>SUM(C15:C44)</f>
        <v>483500</v>
      </c>
    </row>
    <row r="47" spans="1:6" ht="43.5" customHeight="1" x14ac:dyDescent="0.3">
      <c r="A47" s="57" t="s">
        <v>35</v>
      </c>
      <c r="B47" s="57"/>
      <c r="C47" s="57"/>
      <c r="D47" s="57"/>
      <c r="E47" s="57"/>
      <c r="F47" s="57"/>
    </row>
  </sheetData>
  <mergeCells count="6">
    <mergeCell ref="A47:F47"/>
    <mergeCell ref="A1:F1"/>
    <mergeCell ref="A3:C3"/>
    <mergeCell ref="H3:J3"/>
    <mergeCell ref="A13:F13"/>
    <mergeCell ref="A45:B4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O34"/>
  <sheetViews>
    <sheetView showGridLines="0" zoomScaleNormal="100" workbookViewId="0">
      <pane xSplit="1" ySplit="3" topLeftCell="B7" activePane="bottomRight" state="frozen"/>
      <selection pane="topRight" activeCell="B1" sqref="B1"/>
      <selection pane="bottomLeft" activeCell="A4" sqref="A4"/>
      <selection pane="bottomRight" sqref="A1:O1"/>
    </sheetView>
  </sheetViews>
  <sheetFormatPr defaultColWidth="8.5546875" defaultRowHeight="14.4" x14ac:dyDescent="0.3"/>
  <cols>
    <col min="1" max="1" width="20" customWidth="1"/>
    <col min="2" max="14" width="11" customWidth="1"/>
    <col min="15" max="15" width="14" customWidth="1"/>
  </cols>
  <sheetData>
    <row r="1" spans="1:15" ht="31.5" customHeight="1" x14ac:dyDescent="0.3">
      <c r="A1" s="54" t="s">
        <v>36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3" spans="1:15" ht="27.75" customHeight="1" x14ac:dyDescent="0.3">
      <c r="A3" s="3" t="s">
        <v>37</v>
      </c>
      <c r="B3" s="15" t="s">
        <v>38</v>
      </c>
      <c r="C3" s="15" t="s">
        <v>39</v>
      </c>
      <c r="D3" s="15" t="s">
        <v>40</v>
      </c>
      <c r="E3" s="15" t="s">
        <v>41</v>
      </c>
      <c r="F3" s="15" t="s">
        <v>42</v>
      </c>
      <c r="G3" s="15" t="s">
        <v>43</v>
      </c>
      <c r="H3" s="15" t="s">
        <v>44</v>
      </c>
      <c r="I3" s="15" t="s">
        <v>45</v>
      </c>
      <c r="J3" s="15" t="s">
        <v>46</v>
      </c>
      <c r="K3" s="15" t="s">
        <v>47</v>
      </c>
      <c r="L3" s="15" t="s">
        <v>48</v>
      </c>
      <c r="M3" s="15" t="s">
        <v>49</v>
      </c>
      <c r="N3" s="15" t="s">
        <v>50</v>
      </c>
    </row>
    <row r="4" spans="1:15" ht="19.5" customHeight="1" x14ac:dyDescent="0.3">
      <c r="A4" s="1" t="str">
        <f>IF(Setup!B15&lt;&gt;"",Setup!B15,"")</f>
        <v>Sheraz</v>
      </c>
      <c r="B4" s="16">
        <f>IF(Setup!B15&lt;&gt;"",Payroll_Jan!R8,"")</f>
        <v>33302.777777777781</v>
      </c>
      <c r="C4" s="16">
        <f>IF(Setup!B15&lt;&gt;"",Payroll_Feb!R8,"")</f>
        <v>13546.875</v>
      </c>
      <c r="D4" s="16">
        <f>IF(Setup!B15&lt;&gt;"",Payroll_Mar!R8,"")</f>
        <v>4285.576923076922</v>
      </c>
      <c r="E4" s="16">
        <f>IF(Setup!B15&lt;&gt;"",Payroll_Apr!R8,"")</f>
        <v>4172.5961538461488</v>
      </c>
      <c r="F4" s="16">
        <f>IF(Setup!B15&lt;&gt;"",Payroll_May!R8,"")</f>
        <v>5195.673076923078</v>
      </c>
      <c r="G4" s="16">
        <f>IF(Setup!B15&lt;&gt;"",Payroll_Jun!R8,"")</f>
        <v>33478.365384615383</v>
      </c>
      <c r="H4" s="16">
        <f>IF(Setup!B15&lt;&gt;"",Payroll_Jul!R8,"")</f>
        <v>15915.972222222226</v>
      </c>
      <c r="I4" s="16">
        <f>IF(Setup!B15&lt;&gt;"",Payroll_Aug!R8,"")</f>
        <v>0</v>
      </c>
      <c r="J4" s="16">
        <f>IF(Setup!B15&lt;&gt;"",Payroll_Sep!R8,"")</f>
        <v>0</v>
      </c>
      <c r="K4" s="16">
        <f>IF(Setup!B15&lt;&gt;"",Payroll_Oct!R8,"")</f>
        <v>0</v>
      </c>
      <c r="L4" s="16">
        <f>IF(Setup!B15&lt;&gt;"",Payroll_Nov!R8,"")</f>
        <v>0</v>
      </c>
      <c r="M4" s="16">
        <f>IF(Setup!B15&lt;&gt;"",Payroll_Dec!R8,"")</f>
        <v>0</v>
      </c>
      <c r="O4" s="17">
        <f>IF(Setup!B15&lt;&gt;"",SUM(B4:M4),"")</f>
        <v>109897.83653846153</v>
      </c>
    </row>
    <row r="5" spans="1:15" ht="19.5" customHeight="1" x14ac:dyDescent="0.3">
      <c r="A5" s="18" t="str">
        <f>IF(Setup!B16&lt;&gt;"",Setup!B16,"")</f>
        <v>Zain</v>
      </c>
      <c r="B5" s="19">
        <f>IF(Setup!B16&lt;&gt;"",Payroll_Jan!R9,"")</f>
        <v>52742.361111111117</v>
      </c>
      <c r="C5" s="19">
        <f>IF(Setup!B16&lt;&gt;"",Payroll_Feb!R9,"")</f>
        <v>20239.583333333336</v>
      </c>
      <c r="D5" s="19">
        <f>IF(Setup!B16&lt;&gt;"",Payroll_Mar!R9,"")</f>
        <v>12197.11538461539</v>
      </c>
      <c r="E5" s="19">
        <f>IF(Setup!B16&lt;&gt;"",Payroll_Apr!R9,"")</f>
        <v>14637.259615384617</v>
      </c>
      <c r="F5" s="19">
        <f>IF(Setup!B16&lt;&gt;"",Payroll_May!R9,"")</f>
        <v>3000</v>
      </c>
      <c r="G5" s="19">
        <f>IF(Setup!B16&lt;&gt;"",Payroll_Jun!R9,"")</f>
        <v>19114.423076923085</v>
      </c>
      <c r="H5" s="19">
        <f>IF(Setup!B16&lt;&gt;"",Payroll_Jul!R9,"")</f>
        <v>15312.5</v>
      </c>
      <c r="I5" s="19">
        <f>IF(Setup!B16&lt;&gt;"",Payroll_Aug!R9,"")</f>
        <v>0</v>
      </c>
      <c r="J5" s="19">
        <f>IF(Setup!B16&lt;&gt;"",Payroll_Sep!R9,"")</f>
        <v>0</v>
      </c>
      <c r="K5" s="19">
        <f>IF(Setup!B16&lt;&gt;"",Payroll_Oct!R9,"")</f>
        <v>0</v>
      </c>
      <c r="L5" s="19">
        <f>IF(Setup!B16&lt;&gt;"",Payroll_Nov!R9,"")</f>
        <v>0</v>
      </c>
      <c r="M5" s="19">
        <f>IF(Setup!B16&lt;&gt;"",Payroll_Dec!R9,"")</f>
        <v>0</v>
      </c>
      <c r="O5" s="17">
        <f>IF(Setup!B16&lt;&gt;"",SUM(B5:M5),"")</f>
        <v>137243.24252136756</v>
      </c>
    </row>
    <row r="6" spans="1:15" ht="19.5" customHeight="1" x14ac:dyDescent="0.3">
      <c r="A6" s="1" t="str">
        <f>IF(Setup!B17&lt;&gt;"",Setup!B17,"")</f>
        <v>Yousaf</v>
      </c>
      <c r="B6" s="16">
        <f>IF(Setup!B17&lt;&gt;"",Payroll_Jan!R10,"")</f>
        <v>27650</v>
      </c>
      <c r="C6" s="16">
        <f>IF(Setup!B17&lt;&gt;"",Payroll_Feb!R10,"")</f>
        <v>18104.166666666668</v>
      </c>
      <c r="D6" s="16">
        <f>IF(Setup!B17&lt;&gt;"",Payroll_Mar!R10,"")</f>
        <v>9673.076923076922</v>
      </c>
      <c r="E6" s="16">
        <f>IF(Setup!B17&lt;&gt;"",Payroll_Apr!R10,"")</f>
        <v>17711.538461538461</v>
      </c>
      <c r="F6" s="16">
        <f>IF(Setup!B17&lt;&gt;"",Payroll_May!R10,"")</f>
        <v>5886.538461538461</v>
      </c>
      <c r="G6" s="16">
        <f>IF(Setup!B17&lt;&gt;"",Payroll_Jun!R10,"")</f>
        <v>1068.461538461539</v>
      </c>
      <c r="H6" s="16">
        <f>IF(Setup!B17&lt;&gt;"",Payroll_Jul!R10,"")</f>
        <v>9333.3333333333321</v>
      </c>
      <c r="I6" s="16">
        <f>IF(Setup!B17&lt;&gt;"",Payroll_Aug!R10,"")</f>
        <v>0</v>
      </c>
      <c r="J6" s="16">
        <f>IF(Setup!B17&lt;&gt;"",Payroll_Sep!R10,"")</f>
        <v>0</v>
      </c>
      <c r="K6" s="16">
        <f>IF(Setup!B17&lt;&gt;"",Payroll_Oct!R10,"")</f>
        <v>0</v>
      </c>
      <c r="L6" s="16">
        <f>IF(Setup!B17&lt;&gt;"",Payroll_Nov!R10,"")</f>
        <v>0</v>
      </c>
      <c r="M6" s="16">
        <f>IF(Setup!B17&lt;&gt;"",Payroll_Dec!R10,"")</f>
        <v>0</v>
      </c>
      <c r="O6" s="17">
        <f>IF(Setup!B17&lt;&gt;"",SUM(B6:M6),"")</f>
        <v>89427.11538461539</v>
      </c>
    </row>
    <row r="7" spans="1:15" ht="19.5" customHeight="1" x14ac:dyDescent="0.3">
      <c r="A7" s="18" t="str">
        <f>IF(Setup!B18&lt;&gt;"",Setup!B18,"")</f>
        <v>Hamza</v>
      </c>
      <c r="B7" s="19">
        <f>IF(Setup!B18&lt;&gt;"",Payroll_Jan!R11,"")</f>
        <v>18784.722222222226</v>
      </c>
      <c r="C7" s="19">
        <f>IF(Setup!B18&lt;&gt;"",Payroll_Feb!R11,"")</f>
        <v>2388.0208333333358</v>
      </c>
      <c r="D7" s="19">
        <f>IF(Setup!B18&lt;&gt;"",Payroll_Mar!R11,"")</f>
        <v>9072.1153846153866</v>
      </c>
      <c r="E7" s="19">
        <f>IF(Setup!B18&lt;&gt;"",Payroll_Apr!R11,"")</f>
        <v>7274.038461538461</v>
      </c>
      <c r="F7" s="19">
        <f>IF(Setup!B18&lt;&gt;"",Payroll_May!R11,"")</f>
        <v>9.6153846134257037E-3</v>
      </c>
      <c r="G7" s="19">
        <f>IF(Setup!B18&lt;&gt;"",Payroll_Jun!R11,"")</f>
        <v>9610.5673076923085</v>
      </c>
      <c r="H7" s="19">
        <f>IF(Setup!B18&lt;&gt;"",Payroll_Jul!R11,"")</f>
        <v>60.185185185189766</v>
      </c>
      <c r="I7" s="19">
        <f>IF(Setup!B18&lt;&gt;"",Payroll_Aug!R11,"")</f>
        <v>0</v>
      </c>
      <c r="J7" s="19">
        <f>IF(Setup!B18&lt;&gt;"",Payroll_Sep!R11,"")</f>
        <v>0</v>
      </c>
      <c r="K7" s="19">
        <f>IF(Setup!B18&lt;&gt;"",Payroll_Oct!R11,"")</f>
        <v>0</v>
      </c>
      <c r="L7" s="19">
        <f>IF(Setup!B18&lt;&gt;"",Payroll_Nov!R11,"")</f>
        <v>0</v>
      </c>
      <c r="M7" s="19">
        <f>IF(Setup!B18&lt;&gt;"",Payroll_Dec!R11,"")</f>
        <v>0</v>
      </c>
      <c r="O7" s="17">
        <f>IF(Setup!B18&lt;&gt;"",SUM(B7:M7),"")</f>
        <v>47189.659009971518</v>
      </c>
    </row>
    <row r="8" spans="1:15" ht="19.5" customHeight="1" x14ac:dyDescent="0.3">
      <c r="A8" s="1" t="str">
        <f>IF(Setup!B19&lt;&gt;"",Setup!B19,"")</f>
        <v>Amjad</v>
      </c>
      <c r="B8" s="16">
        <f>IF(Setup!B19&lt;&gt;"",Payroll_Jan!R12,"")</f>
        <v>29687.5</v>
      </c>
      <c r="C8" s="16">
        <f>IF(Setup!B19&lt;&gt;"",Payroll_Feb!R12,"")</f>
        <v>13326.822916666672</v>
      </c>
      <c r="D8" s="16">
        <f>IF(Setup!B19&lt;&gt;"",Payroll_Mar!R12,"")</f>
        <v>11536.057692307695</v>
      </c>
      <c r="E8" s="16">
        <f>IF(Setup!B19&lt;&gt;"",Payroll_Apr!R12,"")</f>
        <v>16846.153846153848</v>
      </c>
      <c r="F8" s="16">
        <f>IF(Setup!B19&lt;&gt;"",Payroll_May!R12,"")</f>
        <v>7859.3749999999964</v>
      </c>
      <c r="G8" s="16">
        <f>IF(Setup!B19&lt;&gt;"",Payroll_Jun!R12,"")</f>
        <v>18710.336538461535</v>
      </c>
      <c r="H8" s="16">
        <f>IF(Setup!B19&lt;&gt;"",Payroll_Jul!R12,"")</f>
        <v>15747.685185185186</v>
      </c>
      <c r="I8" s="16">
        <f>IF(Setup!B19&lt;&gt;"",Payroll_Aug!R12,"")</f>
        <v>0</v>
      </c>
      <c r="J8" s="16">
        <f>IF(Setup!B19&lt;&gt;"",Payroll_Sep!R12,"")</f>
        <v>0</v>
      </c>
      <c r="K8" s="16">
        <f>IF(Setup!B19&lt;&gt;"",Payroll_Oct!R12,"")</f>
        <v>0</v>
      </c>
      <c r="L8" s="16">
        <f>IF(Setup!B19&lt;&gt;"",Payroll_Nov!R12,"")</f>
        <v>0</v>
      </c>
      <c r="M8" s="16">
        <f>IF(Setup!B19&lt;&gt;"",Payroll_Dec!R12,"")</f>
        <v>0</v>
      </c>
      <c r="O8" s="17">
        <f>IF(Setup!B19&lt;&gt;"",SUM(B8:M8),"")</f>
        <v>113713.93117877493</v>
      </c>
    </row>
    <row r="9" spans="1:15" ht="19.5" customHeight="1" x14ac:dyDescent="0.3">
      <c r="A9" s="18" t="str">
        <f>IF(Setup!B20&lt;&gt;"",Setup!B20,"")</f>
        <v>Tanveer</v>
      </c>
      <c r="B9" s="19">
        <f>IF(Setup!B20&lt;&gt;"",Payroll_Jan!R13,"")</f>
        <v>15625.000000000002</v>
      </c>
      <c r="C9" s="19">
        <f>IF(Setup!B20&lt;&gt;"",Payroll_Feb!R13,"")</f>
        <v>11875</v>
      </c>
      <c r="D9" s="19">
        <f>IF(Setup!B20&lt;&gt;"",Payroll_Mar!R13,"")</f>
        <v>10000</v>
      </c>
      <c r="E9" s="19">
        <f>IF(Setup!B20&lt;&gt;"",Payroll_Apr!R13,"")</f>
        <v>-1807.6923076923085</v>
      </c>
      <c r="F9" s="19">
        <f>IF(Setup!B20&lt;&gt;"",Payroll_May!R13,"")</f>
        <v>0</v>
      </c>
      <c r="G9" s="19">
        <f>IF(Setup!B20&lt;&gt;"",Payroll_Jun!R13,"")</f>
        <v>10000</v>
      </c>
      <c r="H9" s="19">
        <f>IF(Setup!B20&lt;&gt;"",Payroll_Jul!R13,"")</f>
        <v>15000</v>
      </c>
      <c r="I9" s="19">
        <f>IF(Setup!B20&lt;&gt;"",Payroll_Aug!R13,"")</f>
        <v>0</v>
      </c>
      <c r="J9" s="19">
        <f>IF(Setup!B20&lt;&gt;"",Payroll_Sep!R13,"")</f>
        <v>0</v>
      </c>
      <c r="K9" s="19">
        <f>IF(Setup!B20&lt;&gt;"",Payroll_Oct!R13,"")</f>
        <v>0</v>
      </c>
      <c r="L9" s="19">
        <f>IF(Setup!B20&lt;&gt;"",Payroll_Nov!R13,"")</f>
        <v>0</v>
      </c>
      <c r="M9" s="19">
        <f>IF(Setup!B20&lt;&gt;"",Payroll_Dec!R13,"")</f>
        <v>0</v>
      </c>
      <c r="O9" s="17">
        <f>IF(Setup!B20&lt;&gt;"",SUM(B9:M9),"")</f>
        <v>60692.307692307688</v>
      </c>
    </row>
    <row r="10" spans="1:15" ht="19.5" customHeight="1" x14ac:dyDescent="0.3">
      <c r="A10" s="1" t="str">
        <f>IF(Setup!B21&lt;&gt;"",Setup!B21,"")</f>
        <v>Ali Zaman</v>
      </c>
      <c r="B10" s="16">
        <f>IF(Setup!B21&lt;&gt;"",Payroll_Jan!R14,"")</f>
        <v>74809.027777777781</v>
      </c>
      <c r="C10" s="16">
        <f>IF(Setup!B21&lt;&gt;"",Payroll_Feb!R14,"")</f>
        <v>75000</v>
      </c>
      <c r="D10" s="16">
        <f>IF(Setup!B21&lt;&gt;"",Payroll_Mar!R14,"")</f>
        <v>45000</v>
      </c>
      <c r="E10" s="16">
        <f>IF(Setup!B21&lt;&gt;"",Payroll_Apr!R14,"")</f>
        <v>38000</v>
      </c>
      <c r="F10" s="16">
        <f>IF(Setup!B21&lt;&gt;"",Payroll_May!R14,"")</f>
        <v>35000</v>
      </c>
      <c r="G10" s="16">
        <f>IF(Setup!B21&lt;&gt;"",Payroll_Jun!R14,"")</f>
        <v>55000</v>
      </c>
      <c r="H10" s="16">
        <f>IF(Setup!B21&lt;&gt;"",Payroll_Jul!R14,"")</f>
        <v>45000</v>
      </c>
      <c r="I10" s="16">
        <f>IF(Setup!B21&lt;&gt;"",Payroll_Aug!R14,"")</f>
        <v>0</v>
      </c>
      <c r="J10" s="16">
        <f>IF(Setup!B21&lt;&gt;"",Payroll_Sep!R14,"")</f>
        <v>0</v>
      </c>
      <c r="K10" s="16">
        <f>IF(Setup!B21&lt;&gt;"",Payroll_Oct!R14,"")</f>
        <v>0</v>
      </c>
      <c r="L10" s="16">
        <f>IF(Setup!B21&lt;&gt;"",Payroll_Nov!R14,"")</f>
        <v>0</v>
      </c>
      <c r="M10" s="16">
        <f>IF(Setup!B21&lt;&gt;"",Payroll_Dec!R14,"")</f>
        <v>0</v>
      </c>
      <c r="O10" s="17">
        <f>IF(Setup!B21&lt;&gt;"",SUM(B10:M10),"")</f>
        <v>367809.02777777775</v>
      </c>
    </row>
    <row r="11" spans="1:15" ht="19.5" customHeight="1" x14ac:dyDescent="0.3">
      <c r="A11" s="18" t="str">
        <f>IF(Setup!B22&lt;&gt;"",Setup!B22,"")</f>
        <v>Awais Ali</v>
      </c>
      <c r="B11" s="19">
        <f>IF(Setup!B22&lt;&gt;"",Payroll_Jan!R15,"")</f>
        <v>18750</v>
      </c>
      <c r="C11" s="19">
        <f>IF(Setup!B22&lt;&gt;"",Payroll_Feb!R15,"")</f>
        <v>15838.541666666668</v>
      </c>
      <c r="D11" s="19">
        <f>IF(Setup!B22&lt;&gt;"",Payroll_Mar!R15,"")</f>
        <v>10508.413461538465</v>
      </c>
      <c r="E11" s="19">
        <f>IF(Setup!B22&lt;&gt;"",Payroll_Apr!R15,"")</f>
        <v>17341.346153846152</v>
      </c>
      <c r="F11" s="19">
        <f>IF(Setup!B22&lt;&gt;"",Payroll_May!R15,"")</f>
        <v>269.23076923077315</v>
      </c>
      <c r="G11" s="19">
        <f>IF(Setup!B22&lt;&gt;"",Payroll_Jun!R15,"")</f>
        <v>11591.346153846152</v>
      </c>
      <c r="H11" s="19">
        <f>IF(Setup!B22&lt;&gt;"",Payroll_Jul!R15,"")</f>
        <v>0</v>
      </c>
      <c r="I11" s="19">
        <f>IF(Setup!B22&lt;&gt;"",Payroll_Aug!R15,"")</f>
        <v>0</v>
      </c>
      <c r="J11" s="19">
        <f>IF(Setup!B22&lt;&gt;"",Payroll_Sep!R15,"")</f>
        <v>0</v>
      </c>
      <c r="K11" s="19">
        <f>IF(Setup!B22&lt;&gt;"",Payroll_Oct!R15,"")</f>
        <v>0</v>
      </c>
      <c r="L11" s="19">
        <f>IF(Setup!B22&lt;&gt;"",Payroll_Nov!R15,"")</f>
        <v>0</v>
      </c>
      <c r="M11" s="19">
        <f>IF(Setup!B22&lt;&gt;"",Payroll_Dec!R15,"")</f>
        <v>0</v>
      </c>
      <c r="O11" s="17">
        <f>IF(Setup!B22&lt;&gt;"",SUM(B11:M11),"")</f>
        <v>74298.878205128218</v>
      </c>
    </row>
    <row r="12" spans="1:15" ht="19.5" customHeight="1" x14ac:dyDescent="0.3">
      <c r="A12" s="1" t="str">
        <f>IF(Setup!B23&lt;&gt;"",Setup!B23,"")</f>
        <v>Ishtiaq</v>
      </c>
      <c r="B12" s="16">
        <f>IF(Setup!B23&lt;&gt;"",Payroll_Jan!R16,"")</f>
        <v>29687.5</v>
      </c>
      <c r="C12" s="16">
        <f>IF(Setup!B23&lt;&gt;"",Payroll_Feb!R16,"")</f>
        <v>12080.729166666672</v>
      </c>
      <c r="D12" s="16">
        <f>IF(Setup!B23&lt;&gt;"",Payroll_Mar!R16,"")</f>
        <v>8936.298076923078</v>
      </c>
      <c r="E12" s="16">
        <f>IF(Setup!B23&lt;&gt;"",Payroll_Apr!R16,"")</f>
        <v>15265.024038461539</v>
      </c>
      <c r="F12" s="16">
        <f>IF(Setup!B23&lt;&gt;"",Payroll_May!R16,"")</f>
        <v>13935.096153846156</v>
      </c>
      <c r="G12" s="16">
        <f>IF(Setup!B23&lt;&gt;"",Payroll_Jun!R16,"")</f>
        <v>8070.913461538461</v>
      </c>
      <c r="H12" s="16">
        <f>IF(Setup!B23&lt;&gt;"",Payroll_Jul!R16,"")</f>
        <v>0</v>
      </c>
      <c r="I12" s="16">
        <f>IF(Setup!B23&lt;&gt;"",Payroll_Aug!R16,"")</f>
        <v>0</v>
      </c>
      <c r="J12" s="16">
        <f>IF(Setup!B23&lt;&gt;"",Payroll_Sep!R16,"")</f>
        <v>0</v>
      </c>
      <c r="K12" s="16">
        <f>IF(Setup!B23&lt;&gt;"",Payroll_Oct!R16,"")</f>
        <v>0</v>
      </c>
      <c r="L12" s="16">
        <f>IF(Setup!B23&lt;&gt;"",Payroll_Nov!R16,"")</f>
        <v>0</v>
      </c>
      <c r="M12" s="16">
        <f>IF(Setup!B23&lt;&gt;"",Payroll_Dec!R16,"")</f>
        <v>0</v>
      </c>
      <c r="O12" s="17">
        <f>IF(Setup!B23&lt;&gt;"",SUM(B12:M12),"")</f>
        <v>87975.560897435906</v>
      </c>
    </row>
    <row r="13" spans="1:15" ht="19.5" customHeight="1" x14ac:dyDescent="0.3">
      <c r="A13" s="18" t="str">
        <f>IF(Setup!B24&lt;&gt;"",Setup!B24,"")</f>
        <v>Usama bhai</v>
      </c>
      <c r="B13" s="19">
        <f>IF(Setup!B24&lt;&gt;"",Payroll_Jan!R17,"")</f>
        <v>31250.000000000004</v>
      </c>
      <c r="C13" s="19">
        <f>IF(Setup!B24&lt;&gt;"",Payroll_Feb!R17,"")</f>
        <v>50000</v>
      </c>
      <c r="D13" s="19">
        <f>IF(Setup!B24&lt;&gt;"",Payroll_Mar!R17,"")</f>
        <v>50000</v>
      </c>
      <c r="E13" s="19">
        <f>IF(Setup!B24&lt;&gt;"",Payroll_Apr!R17,"")</f>
        <v>50000</v>
      </c>
      <c r="F13" s="19">
        <f>IF(Setup!B24&lt;&gt;"",Payroll_May!R17,"")</f>
        <v>0</v>
      </c>
      <c r="G13" s="19">
        <f>IF(Setup!B24&lt;&gt;"",Payroll_Jun!R17,"")</f>
        <v>50000</v>
      </c>
      <c r="H13" s="19">
        <f>IF(Setup!B24&lt;&gt;"",Payroll_Jul!R17,"")</f>
        <v>50000</v>
      </c>
      <c r="I13" s="19">
        <f>IF(Setup!B24&lt;&gt;"",Payroll_Aug!R17,"")</f>
        <v>0</v>
      </c>
      <c r="J13" s="19">
        <f>IF(Setup!B24&lt;&gt;"",Payroll_Sep!R17,"")</f>
        <v>0</v>
      </c>
      <c r="K13" s="19">
        <f>IF(Setup!B24&lt;&gt;"",Payroll_Oct!R17,"")</f>
        <v>0</v>
      </c>
      <c r="L13" s="19">
        <f>IF(Setup!B24&lt;&gt;"",Payroll_Nov!R17,"")</f>
        <v>0</v>
      </c>
      <c r="M13" s="19">
        <f>IF(Setup!B24&lt;&gt;"",Payroll_Dec!R17,"")</f>
        <v>0</v>
      </c>
      <c r="O13" s="17">
        <f>IF(Setup!B24&lt;&gt;"",SUM(B13:M13),"")</f>
        <v>281250</v>
      </c>
    </row>
    <row r="14" spans="1:15" ht="19.5" customHeight="1" x14ac:dyDescent="0.3">
      <c r="A14" s="1" t="str">
        <f>IF(Setup!B25&lt;&gt;"",Setup!B25,"")</f>
        <v>Ahtisham</v>
      </c>
      <c r="B14" s="16">
        <f>IF(Setup!B25&lt;&gt;"",Payroll_Jan!R18,"")</f>
        <v>7541.666666666667</v>
      </c>
      <c r="C14" s="16">
        <f>IF(Setup!B25&lt;&gt;"",Payroll_Feb!R18,"")</f>
        <v>10000</v>
      </c>
      <c r="D14" s="16">
        <f>IF(Setup!B25&lt;&gt;"",Payroll_Mar!R18,"")</f>
        <v>10000</v>
      </c>
      <c r="E14" s="16">
        <f>IF(Setup!B25&lt;&gt;"",Payroll_Apr!R18,"")</f>
        <v>10000</v>
      </c>
      <c r="F14" s="16">
        <f>IF(Setup!B25&lt;&gt;"",Payroll_May!R18,"")</f>
        <v>0</v>
      </c>
      <c r="G14" s="16">
        <f>IF(Setup!B25&lt;&gt;"",Payroll_Jun!R18,"")</f>
        <v>0</v>
      </c>
      <c r="H14" s="16">
        <f>IF(Setup!B25&lt;&gt;"",Payroll_Jul!R18,"")</f>
        <v>0</v>
      </c>
      <c r="I14" s="16">
        <f>IF(Setup!B25&lt;&gt;"",Payroll_Aug!R18,"")</f>
        <v>0</v>
      </c>
      <c r="J14" s="16">
        <f>IF(Setup!B25&lt;&gt;"",Payroll_Sep!R18,"")</f>
        <v>0</v>
      </c>
      <c r="K14" s="16">
        <f>IF(Setup!B25&lt;&gt;"",Payroll_Oct!R18,"")</f>
        <v>0</v>
      </c>
      <c r="L14" s="16">
        <f>IF(Setup!B25&lt;&gt;"",Payroll_Nov!R18,"")</f>
        <v>0</v>
      </c>
      <c r="M14" s="16">
        <f>IF(Setup!B25&lt;&gt;"",Payroll_Dec!R18,"")</f>
        <v>0</v>
      </c>
      <c r="O14" s="17">
        <f>IF(Setup!B25&lt;&gt;"",SUM(B14:M14),"")</f>
        <v>37541.666666666672</v>
      </c>
    </row>
    <row r="15" spans="1:15" ht="19.5" customHeight="1" x14ac:dyDescent="0.3">
      <c r="A15" s="18" t="str">
        <f>IF(Setup!B26&lt;&gt;"",Setup!B26,"")</f>
        <v>Factory rent</v>
      </c>
      <c r="B15" s="19">
        <f>IF(Setup!B26&lt;&gt;"",Payroll_Jan!R19,"")</f>
        <v>77267.361111111109</v>
      </c>
      <c r="C15" s="19">
        <f>IF(Setup!B26&lt;&gt;"",Payroll_Feb!R19,"")</f>
        <v>77000</v>
      </c>
      <c r="D15" s="19">
        <f>IF(Setup!B26&lt;&gt;"",Payroll_Mar!R19,"")</f>
        <v>77000</v>
      </c>
      <c r="E15" s="19">
        <f>IF(Setup!B26&lt;&gt;"",Payroll_Apr!R19,"")</f>
        <v>77000</v>
      </c>
      <c r="F15" s="19">
        <f>IF(Setup!B26&lt;&gt;"",Payroll_May!R19,"")</f>
        <v>77000</v>
      </c>
      <c r="G15" s="19">
        <f>IF(Setup!B26&lt;&gt;"",Payroll_Jun!R19,"")</f>
        <v>77000</v>
      </c>
      <c r="H15" s="19">
        <f>IF(Setup!B26&lt;&gt;"",Payroll_Jul!R19,"")</f>
        <v>77000</v>
      </c>
      <c r="I15" s="19">
        <f>IF(Setup!B26&lt;&gt;"",Payroll_Aug!R19,"")</f>
        <v>0</v>
      </c>
      <c r="J15" s="19">
        <f>IF(Setup!B26&lt;&gt;"",Payroll_Sep!R19,"")</f>
        <v>0</v>
      </c>
      <c r="K15" s="19">
        <f>IF(Setup!B26&lt;&gt;"",Payroll_Oct!R19,"")</f>
        <v>0</v>
      </c>
      <c r="L15" s="19">
        <f>IF(Setup!B26&lt;&gt;"",Payroll_Nov!R19,"")</f>
        <v>0</v>
      </c>
      <c r="M15" s="19">
        <f>IF(Setup!B26&lt;&gt;"",Payroll_Dec!R19,"")</f>
        <v>0</v>
      </c>
      <c r="O15" s="17">
        <f>IF(Setup!B26&lt;&gt;"",SUM(B15:M15),"")</f>
        <v>539267.36111111112</v>
      </c>
    </row>
    <row r="16" spans="1:15" ht="19.5" customHeight="1" x14ac:dyDescent="0.3">
      <c r="A16" s="1" t="str">
        <f>IF(Setup!B27&lt;&gt;"",Setup!B27,"")</f>
        <v>Internet bill</v>
      </c>
      <c r="B16" s="16">
        <f>IF(Setup!B27&lt;&gt;"",Payroll_Jan!R20,"")</f>
        <v>0</v>
      </c>
      <c r="C16" s="16">
        <f>IF(Setup!B27&lt;&gt;"",Payroll_Feb!R20,"")</f>
        <v>2500</v>
      </c>
      <c r="D16" s="16">
        <f>IF(Setup!B27&lt;&gt;"",Payroll_Mar!R20,"")</f>
        <v>2500</v>
      </c>
      <c r="E16" s="16">
        <f>IF(Setup!B27&lt;&gt;"",Payroll_Apr!R20,"")</f>
        <v>2500</v>
      </c>
      <c r="F16" s="16">
        <f>IF(Setup!B27&lt;&gt;"",Payroll_May!R20,"")</f>
        <v>2500</v>
      </c>
      <c r="G16" s="16">
        <f>IF(Setup!B27&lt;&gt;"",Payroll_Jun!R20,"")</f>
        <v>2500</v>
      </c>
      <c r="H16" s="16">
        <f>IF(Setup!B27&lt;&gt;"",Payroll_Jul!R20,"")</f>
        <v>2500</v>
      </c>
      <c r="I16" s="16">
        <f>IF(Setup!B27&lt;&gt;"",Payroll_Aug!R20,"")</f>
        <v>0</v>
      </c>
      <c r="J16" s="16">
        <f>IF(Setup!B27&lt;&gt;"",Payroll_Sep!R20,"")</f>
        <v>0</v>
      </c>
      <c r="K16" s="16">
        <f>IF(Setup!B27&lt;&gt;"",Payroll_Oct!R20,"")</f>
        <v>0</v>
      </c>
      <c r="L16" s="16">
        <f>IF(Setup!B27&lt;&gt;"",Payroll_Nov!R20,"")</f>
        <v>0</v>
      </c>
      <c r="M16" s="16">
        <f>IF(Setup!B27&lt;&gt;"",Payroll_Dec!R20,"")</f>
        <v>0</v>
      </c>
      <c r="O16" s="17">
        <f>IF(Setup!B27&lt;&gt;"",SUM(B16:M16),"")</f>
        <v>15000</v>
      </c>
    </row>
    <row r="17" spans="1:15" ht="19.5" customHeight="1" x14ac:dyDescent="0.3">
      <c r="A17" s="18" t="str">
        <f>IF(Setup!B28&lt;&gt;"",Setup!B28,"")</f>
        <v>Saqab</v>
      </c>
      <c r="B17" s="19">
        <f>IF(Setup!B28&lt;&gt;"",Payroll_Jan!R21,"")</f>
        <v>0</v>
      </c>
      <c r="C17" s="19">
        <f>IF(Setup!B28&lt;&gt;"",Payroll_Feb!R21,"")</f>
        <v>0</v>
      </c>
      <c r="D17" s="19">
        <f>IF(Setup!B28&lt;&gt;"",Payroll_Mar!R21,"")</f>
        <v>0</v>
      </c>
      <c r="E17" s="19">
        <f>IF(Setup!B28&lt;&gt;"",Payroll_Apr!R21,"")</f>
        <v>0</v>
      </c>
      <c r="F17" s="19">
        <f>IF(Setup!B28&lt;&gt;"",Payroll_May!R21,"")</f>
        <v>6195.913461538461</v>
      </c>
      <c r="G17" s="19">
        <f>IF(Setup!B28&lt;&gt;"",Payroll_Jun!R21,"")</f>
        <v>12716.346153846152</v>
      </c>
      <c r="H17" s="19">
        <f>IF(Setup!B28&lt;&gt;"",Payroll_Jul!R21,"")</f>
        <v>12754.629629629631</v>
      </c>
      <c r="I17" s="19">
        <f>IF(Setup!B28&lt;&gt;"",Payroll_Aug!R21,"")</f>
        <v>0</v>
      </c>
      <c r="J17" s="19">
        <f>IF(Setup!B28&lt;&gt;"",Payroll_Sep!R21,"")</f>
        <v>0</v>
      </c>
      <c r="K17" s="19">
        <f>IF(Setup!B28&lt;&gt;"",Payroll_Oct!R21,"")</f>
        <v>0</v>
      </c>
      <c r="L17" s="19">
        <f>IF(Setup!B28&lt;&gt;"",Payroll_Nov!R21,"")</f>
        <v>0</v>
      </c>
      <c r="M17" s="19">
        <f>IF(Setup!B28&lt;&gt;"",Payroll_Dec!R21,"")</f>
        <v>0</v>
      </c>
      <c r="O17" s="17">
        <f>IF(Setup!B28&lt;&gt;"",SUM(B17:M17),"")</f>
        <v>31666.889245014245</v>
      </c>
    </row>
    <row r="18" spans="1:15" ht="19.5" customHeight="1" x14ac:dyDescent="0.3">
      <c r="A18" s="1" t="str">
        <f>IF(Setup!B29&lt;&gt;"",Setup!B29,"")</f>
        <v/>
      </c>
      <c r="B18" s="16" t="str">
        <f>IF(Setup!B29&lt;&gt;"",Payroll_Jan!R22,"")</f>
        <v/>
      </c>
      <c r="C18" s="16" t="str">
        <f>IF(Setup!B29&lt;&gt;"",Payroll_Feb!R22,"")</f>
        <v/>
      </c>
      <c r="D18" s="16" t="str">
        <f>IF(Setup!B29&lt;&gt;"",Payroll_Mar!R22,"")</f>
        <v/>
      </c>
      <c r="E18" s="16" t="str">
        <f>IF(Setup!B29&lt;&gt;"",Payroll_Apr!R22,"")</f>
        <v/>
      </c>
      <c r="F18" s="16" t="str">
        <f>IF(Setup!B29&lt;&gt;"",Payroll_May!R22,"")</f>
        <v/>
      </c>
      <c r="G18" s="16" t="str">
        <f>IF(Setup!B29&lt;&gt;"",Payroll_Jun!R22,"")</f>
        <v/>
      </c>
      <c r="H18" s="16" t="str">
        <f>IF(Setup!B29&lt;&gt;"",Payroll_Jul!R22,"")</f>
        <v/>
      </c>
      <c r="I18" s="16" t="str">
        <f>IF(Setup!B29&lt;&gt;"",Payroll_Aug!R22,"")</f>
        <v/>
      </c>
      <c r="J18" s="16" t="str">
        <f>IF(Setup!B29&lt;&gt;"",Payroll_Sep!R22,"")</f>
        <v/>
      </c>
      <c r="K18" s="16" t="str">
        <f>IF(Setup!B29&lt;&gt;"",Payroll_Oct!R22,"")</f>
        <v/>
      </c>
      <c r="L18" s="16" t="str">
        <f>IF(Setup!B29&lt;&gt;"",Payroll_Nov!R22,"")</f>
        <v/>
      </c>
      <c r="M18" s="16" t="str">
        <f>IF(Setup!B29&lt;&gt;"",Payroll_Dec!R22,"")</f>
        <v/>
      </c>
      <c r="O18" s="17" t="str">
        <f>IF(Setup!B29&lt;&gt;"",SUM(B18:M18),"")</f>
        <v/>
      </c>
    </row>
    <row r="19" spans="1:15" ht="19.5" customHeight="1" x14ac:dyDescent="0.3">
      <c r="A19" s="18" t="str">
        <f>IF(Setup!B30&lt;&gt;"",Setup!B30,"")</f>
        <v/>
      </c>
      <c r="B19" s="19" t="str">
        <f>IF(Setup!B30&lt;&gt;"",Payroll_Jan!R23,"")</f>
        <v/>
      </c>
      <c r="C19" s="19" t="str">
        <f>IF(Setup!B30&lt;&gt;"",Payroll_Feb!R23,"")</f>
        <v/>
      </c>
      <c r="D19" s="19" t="str">
        <f>IF(Setup!B30&lt;&gt;"",Payroll_Mar!R23,"")</f>
        <v/>
      </c>
      <c r="E19" s="19" t="str">
        <f>IF(Setup!B30&lt;&gt;"",Payroll_Apr!R23,"")</f>
        <v/>
      </c>
      <c r="F19" s="19" t="str">
        <f>IF(Setup!B30&lt;&gt;"",Payroll_May!R23,"")</f>
        <v/>
      </c>
      <c r="G19" s="19" t="str">
        <f>IF(Setup!B30&lt;&gt;"",Payroll_Jun!R23,"")</f>
        <v/>
      </c>
      <c r="H19" s="19" t="str">
        <f>IF(Setup!B30&lt;&gt;"",Payroll_Jul!R23,"")</f>
        <v/>
      </c>
      <c r="I19" s="19" t="str">
        <f>IF(Setup!B30&lt;&gt;"",Payroll_Aug!R23,"")</f>
        <v/>
      </c>
      <c r="J19" s="19" t="str">
        <f>IF(Setup!B30&lt;&gt;"",Payroll_Sep!R23,"")</f>
        <v/>
      </c>
      <c r="K19" s="19" t="str">
        <f>IF(Setup!B30&lt;&gt;"",Payroll_Oct!R23,"")</f>
        <v/>
      </c>
      <c r="L19" s="19" t="str">
        <f>IF(Setup!B30&lt;&gt;"",Payroll_Nov!R23,"")</f>
        <v/>
      </c>
      <c r="M19" s="19" t="str">
        <f>IF(Setup!B30&lt;&gt;"",Payroll_Dec!R23,"")</f>
        <v/>
      </c>
      <c r="O19" s="17" t="str">
        <f>IF(Setup!B30&lt;&gt;"",SUM(B19:M19),"")</f>
        <v/>
      </c>
    </row>
    <row r="20" spans="1:15" ht="19.5" customHeight="1" x14ac:dyDescent="0.3">
      <c r="A20" s="1" t="str">
        <f>IF(Setup!B31&lt;&gt;"",Setup!B31,"")</f>
        <v/>
      </c>
      <c r="B20" s="16" t="str">
        <f>IF(Setup!B31&lt;&gt;"",Payroll_Jan!R24,"")</f>
        <v/>
      </c>
      <c r="C20" s="16" t="str">
        <f>IF(Setup!B31&lt;&gt;"",Payroll_Feb!R24,"")</f>
        <v/>
      </c>
      <c r="D20" s="16" t="str">
        <f>IF(Setup!B31&lt;&gt;"",Payroll_Mar!R24,"")</f>
        <v/>
      </c>
      <c r="E20" s="16" t="str">
        <f>IF(Setup!B31&lt;&gt;"",Payroll_Apr!R24,"")</f>
        <v/>
      </c>
      <c r="F20" s="16" t="str">
        <f>IF(Setup!B31&lt;&gt;"",Payroll_May!R24,"")</f>
        <v/>
      </c>
      <c r="G20" s="16" t="str">
        <f>IF(Setup!B31&lt;&gt;"",Payroll_Jun!R24,"")</f>
        <v/>
      </c>
      <c r="H20" s="16" t="str">
        <f>IF(Setup!B31&lt;&gt;"",Payroll_Jul!R24,"")</f>
        <v/>
      </c>
      <c r="I20" s="16" t="str">
        <f>IF(Setup!B31&lt;&gt;"",Payroll_Aug!R24,"")</f>
        <v/>
      </c>
      <c r="J20" s="16" t="str">
        <f>IF(Setup!B31&lt;&gt;"",Payroll_Sep!R24,"")</f>
        <v/>
      </c>
      <c r="K20" s="16" t="str">
        <f>IF(Setup!B31&lt;&gt;"",Payroll_Oct!R24,"")</f>
        <v/>
      </c>
      <c r="L20" s="16" t="str">
        <f>IF(Setup!B31&lt;&gt;"",Payroll_Nov!R24,"")</f>
        <v/>
      </c>
      <c r="M20" s="16" t="str">
        <f>IF(Setup!B31&lt;&gt;"",Payroll_Dec!R24,"")</f>
        <v/>
      </c>
      <c r="O20" s="17" t="str">
        <f>IF(Setup!B31&lt;&gt;"",SUM(B20:M20),"")</f>
        <v/>
      </c>
    </row>
    <row r="21" spans="1:15" ht="19.5" customHeight="1" x14ac:dyDescent="0.3">
      <c r="A21" s="18" t="str">
        <f>IF(Setup!B32&lt;&gt;"",Setup!B32,"")</f>
        <v/>
      </c>
      <c r="B21" s="19" t="str">
        <f>IF(Setup!B32&lt;&gt;"",Payroll_Jan!R25,"")</f>
        <v/>
      </c>
      <c r="C21" s="19" t="str">
        <f>IF(Setup!B32&lt;&gt;"",Payroll_Feb!R25,"")</f>
        <v/>
      </c>
      <c r="D21" s="19" t="str">
        <f>IF(Setup!B32&lt;&gt;"",Payroll_Mar!R25,"")</f>
        <v/>
      </c>
      <c r="E21" s="19" t="str">
        <f>IF(Setup!B32&lt;&gt;"",Payroll_Apr!R25,"")</f>
        <v/>
      </c>
      <c r="F21" s="19" t="str">
        <f>IF(Setup!B32&lt;&gt;"",Payroll_May!R25,"")</f>
        <v/>
      </c>
      <c r="G21" s="19" t="str">
        <f>IF(Setup!B32&lt;&gt;"",Payroll_Jun!R25,"")</f>
        <v/>
      </c>
      <c r="H21" s="19" t="str">
        <f>IF(Setup!B32&lt;&gt;"",Payroll_Jul!R25,"")</f>
        <v/>
      </c>
      <c r="I21" s="19" t="str">
        <f>IF(Setup!B32&lt;&gt;"",Payroll_Aug!R25,"")</f>
        <v/>
      </c>
      <c r="J21" s="19" t="str">
        <f>IF(Setup!B32&lt;&gt;"",Payroll_Sep!R25,"")</f>
        <v/>
      </c>
      <c r="K21" s="19" t="str">
        <f>IF(Setup!B32&lt;&gt;"",Payroll_Oct!R25,"")</f>
        <v/>
      </c>
      <c r="L21" s="19" t="str">
        <f>IF(Setup!B32&lt;&gt;"",Payroll_Nov!R25,"")</f>
        <v/>
      </c>
      <c r="M21" s="19" t="str">
        <f>IF(Setup!B32&lt;&gt;"",Payroll_Dec!R25,"")</f>
        <v/>
      </c>
      <c r="O21" s="17" t="str">
        <f>IF(Setup!B32&lt;&gt;"",SUM(B21:M21),"")</f>
        <v/>
      </c>
    </row>
    <row r="22" spans="1:15" ht="19.5" customHeight="1" x14ac:dyDescent="0.3">
      <c r="A22" s="1" t="str">
        <f>IF(Setup!B33&lt;&gt;"",Setup!B33,"")</f>
        <v/>
      </c>
      <c r="B22" s="16" t="str">
        <f>IF(Setup!B33&lt;&gt;"",Payroll_Jan!R26,"")</f>
        <v/>
      </c>
      <c r="C22" s="16" t="str">
        <f>IF(Setup!B33&lt;&gt;"",Payroll_Feb!R26,"")</f>
        <v/>
      </c>
      <c r="D22" s="16" t="str">
        <f>IF(Setup!B33&lt;&gt;"",Payroll_Mar!R26,"")</f>
        <v/>
      </c>
      <c r="E22" s="16" t="str">
        <f>IF(Setup!B33&lt;&gt;"",Payroll_Apr!R26,"")</f>
        <v/>
      </c>
      <c r="F22" s="16" t="str">
        <f>IF(Setup!B33&lt;&gt;"",Payroll_May!R26,"")</f>
        <v/>
      </c>
      <c r="G22" s="16" t="str">
        <f>IF(Setup!B33&lt;&gt;"",Payroll_Jun!R26,"")</f>
        <v/>
      </c>
      <c r="H22" s="16" t="str">
        <f>IF(Setup!B33&lt;&gt;"",Payroll_Jul!R26,"")</f>
        <v/>
      </c>
      <c r="I22" s="16" t="str">
        <f>IF(Setup!B33&lt;&gt;"",Payroll_Aug!R26,"")</f>
        <v/>
      </c>
      <c r="J22" s="16" t="str">
        <f>IF(Setup!B33&lt;&gt;"",Payroll_Sep!R26,"")</f>
        <v/>
      </c>
      <c r="K22" s="16" t="str">
        <f>IF(Setup!B33&lt;&gt;"",Payroll_Oct!R26,"")</f>
        <v/>
      </c>
      <c r="L22" s="16" t="str">
        <f>IF(Setup!B33&lt;&gt;"",Payroll_Nov!R26,"")</f>
        <v/>
      </c>
      <c r="M22" s="16" t="str">
        <f>IF(Setup!B33&lt;&gt;"",Payroll_Dec!R26,"")</f>
        <v/>
      </c>
      <c r="O22" s="17" t="str">
        <f>IF(Setup!B33&lt;&gt;"",SUM(B22:M22),"")</f>
        <v/>
      </c>
    </row>
    <row r="23" spans="1:15" ht="19.5" customHeight="1" x14ac:dyDescent="0.3">
      <c r="A23" s="18" t="str">
        <f>IF(Setup!B34&lt;&gt;"",Setup!B34,"")</f>
        <v/>
      </c>
      <c r="B23" s="19" t="str">
        <f>IF(Setup!B34&lt;&gt;"",Payroll_Jan!R27,"")</f>
        <v/>
      </c>
      <c r="C23" s="19" t="str">
        <f>IF(Setup!B34&lt;&gt;"",Payroll_Feb!R27,"")</f>
        <v/>
      </c>
      <c r="D23" s="19" t="str">
        <f>IF(Setup!B34&lt;&gt;"",Payroll_Mar!R27,"")</f>
        <v/>
      </c>
      <c r="E23" s="19" t="str">
        <f>IF(Setup!B34&lt;&gt;"",Payroll_Apr!R27,"")</f>
        <v/>
      </c>
      <c r="F23" s="19" t="str">
        <f>IF(Setup!B34&lt;&gt;"",Payroll_May!R27,"")</f>
        <v/>
      </c>
      <c r="G23" s="19" t="str">
        <f>IF(Setup!B34&lt;&gt;"",Payroll_Jun!R27,"")</f>
        <v/>
      </c>
      <c r="H23" s="19" t="str">
        <f>IF(Setup!B34&lt;&gt;"",Payroll_Jul!R27,"")</f>
        <v/>
      </c>
      <c r="I23" s="19" t="str">
        <f>IF(Setup!B34&lt;&gt;"",Payroll_Aug!R27,"")</f>
        <v/>
      </c>
      <c r="J23" s="19" t="str">
        <f>IF(Setup!B34&lt;&gt;"",Payroll_Sep!R27,"")</f>
        <v/>
      </c>
      <c r="K23" s="19" t="str">
        <f>IF(Setup!B34&lt;&gt;"",Payroll_Oct!R27,"")</f>
        <v/>
      </c>
      <c r="L23" s="19" t="str">
        <f>IF(Setup!B34&lt;&gt;"",Payroll_Nov!R27,"")</f>
        <v/>
      </c>
      <c r="M23" s="19" t="str">
        <f>IF(Setup!B34&lt;&gt;"",Payroll_Dec!R27,"")</f>
        <v/>
      </c>
      <c r="O23" s="17" t="str">
        <f>IF(Setup!B34&lt;&gt;"",SUM(B23:M23),"")</f>
        <v/>
      </c>
    </row>
    <row r="24" spans="1:15" ht="19.5" customHeight="1" x14ac:dyDescent="0.3">
      <c r="A24" s="1" t="str">
        <f>IF(Setup!B35&lt;&gt;"",Setup!B35,"")</f>
        <v/>
      </c>
      <c r="B24" s="16" t="str">
        <f>IF(Setup!B35&lt;&gt;"",Payroll_Jan!R28,"")</f>
        <v/>
      </c>
      <c r="C24" s="16" t="str">
        <f>IF(Setup!B35&lt;&gt;"",Payroll_Feb!R28,"")</f>
        <v/>
      </c>
      <c r="D24" s="16" t="str">
        <f>IF(Setup!B35&lt;&gt;"",Payroll_Mar!R28,"")</f>
        <v/>
      </c>
      <c r="E24" s="16" t="str">
        <f>IF(Setup!B35&lt;&gt;"",Payroll_Apr!R28,"")</f>
        <v/>
      </c>
      <c r="F24" s="16" t="str">
        <f>IF(Setup!B35&lt;&gt;"",Payroll_May!R28,"")</f>
        <v/>
      </c>
      <c r="G24" s="16" t="str">
        <f>IF(Setup!B35&lt;&gt;"",Payroll_Jun!R28,"")</f>
        <v/>
      </c>
      <c r="H24" s="16" t="str">
        <f>IF(Setup!B35&lt;&gt;"",Payroll_Jul!R28,"")</f>
        <v/>
      </c>
      <c r="I24" s="16" t="str">
        <f>IF(Setup!B35&lt;&gt;"",Payroll_Aug!R28,"")</f>
        <v/>
      </c>
      <c r="J24" s="16" t="str">
        <f>IF(Setup!B35&lt;&gt;"",Payroll_Sep!R28,"")</f>
        <v/>
      </c>
      <c r="K24" s="16" t="str">
        <f>IF(Setup!B35&lt;&gt;"",Payroll_Oct!R28,"")</f>
        <v/>
      </c>
      <c r="L24" s="16" t="str">
        <f>IF(Setup!B35&lt;&gt;"",Payroll_Nov!R28,"")</f>
        <v/>
      </c>
      <c r="M24" s="16" t="str">
        <f>IF(Setup!B35&lt;&gt;"",Payroll_Dec!R28,"")</f>
        <v/>
      </c>
      <c r="O24" s="17" t="str">
        <f>IF(Setup!B35&lt;&gt;"",SUM(B24:M24),"")</f>
        <v/>
      </c>
    </row>
    <row r="25" spans="1:15" ht="19.5" customHeight="1" x14ac:dyDescent="0.3">
      <c r="A25" s="18" t="str">
        <f>IF(Setup!B36&lt;&gt;"",Setup!B36,"")</f>
        <v/>
      </c>
      <c r="B25" s="19" t="str">
        <f>IF(Setup!B36&lt;&gt;"",Payroll_Jan!R29,"")</f>
        <v/>
      </c>
      <c r="C25" s="19" t="str">
        <f>IF(Setup!B36&lt;&gt;"",Payroll_Feb!R29,"")</f>
        <v/>
      </c>
      <c r="D25" s="19" t="str">
        <f>IF(Setup!B36&lt;&gt;"",Payroll_Mar!R29,"")</f>
        <v/>
      </c>
      <c r="E25" s="19" t="str">
        <f>IF(Setup!B36&lt;&gt;"",Payroll_Apr!R29,"")</f>
        <v/>
      </c>
      <c r="F25" s="19" t="str">
        <f>IF(Setup!B36&lt;&gt;"",Payroll_May!R29,"")</f>
        <v/>
      </c>
      <c r="G25" s="19" t="str">
        <f>IF(Setup!B36&lt;&gt;"",Payroll_Jun!R29,"")</f>
        <v/>
      </c>
      <c r="H25" s="19" t="str">
        <f>IF(Setup!B36&lt;&gt;"",Payroll_Jul!R29,"")</f>
        <v/>
      </c>
      <c r="I25" s="19" t="str">
        <f>IF(Setup!B36&lt;&gt;"",Payroll_Aug!R29,"")</f>
        <v/>
      </c>
      <c r="J25" s="19" t="str">
        <f>IF(Setup!B36&lt;&gt;"",Payroll_Sep!R29,"")</f>
        <v/>
      </c>
      <c r="K25" s="19" t="str">
        <f>IF(Setup!B36&lt;&gt;"",Payroll_Oct!R29,"")</f>
        <v/>
      </c>
      <c r="L25" s="19" t="str">
        <f>IF(Setup!B36&lt;&gt;"",Payroll_Nov!R29,"")</f>
        <v/>
      </c>
      <c r="M25" s="19" t="str">
        <f>IF(Setup!B36&lt;&gt;"",Payroll_Dec!R29,"")</f>
        <v/>
      </c>
      <c r="O25" s="17" t="str">
        <f>IF(Setup!B36&lt;&gt;"",SUM(B25:M25),"")</f>
        <v/>
      </c>
    </row>
    <row r="26" spans="1:15" ht="19.5" customHeight="1" x14ac:dyDescent="0.3">
      <c r="A26" s="1" t="str">
        <f>IF(Setup!B37&lt;&gt;"",Setup!B37,"")</f>
        <v/>
      </c>
      <c r="B26" s="16" t="str">
        <f>IF(Setup!B37&lt;&gt;"",Payroll_Jan!R30,"")</f>
        <v/>
      </c>
      <c r="C26" s="16" t="str">
        <f>IF(Setup!B37&lt;&gt;"",Payroll_Feb!R30,"")</f>
        <v/>
      </c>
      <c r="D26" s="16" t="str">
        <f>IF(Setup!B37&lt;&gt;"",Payroll_Mar!R30,"")</f>
        <v/>
      </c>
      <c r="E26" s="16" t="str">
        <f>IF(Setup!B37&lt;&gt;"",Payroll_Apr!R30,"")</f>
        <v/>
      </c>
      <c r="F26" s="16" t="str">
        <f>IF(Setup!B37&lt;&gt;"",Payroll_May!R30,"")</f>
        <v/>
      </c>
      <c r="G26" s="16" t="str">
        <f>IF(Setup!B37&lt;&gt;"",Payroll_Jun!R30,"")</f>
        <v/>
      </c>
      <c r="H26" s="16" t="str">
        <f>IF(Setup!B37&lt;&gt;"",Payroll_Jul!R30,"")</f>
        <v/>
      </c>
      <c r="I26" s="16" t="str">
        <f>IF(Setup!B37&lt;&gt;"",Payroll_Aug!R30,"")</f>
        <v/>
      </c>
      <c r="J26" s="16" t="str">
        <f>IF(Setup!B37&lt;&gt;"",Payroll_Sep!R30,"")</f>
        <v/>
      </c>
      <c r="K26" s="16" t="str">
        <f>IF(Setup!B37&lt;&gt;"",Payroll_Oct!R30,"")</f>
        <v/>
      </c>
      <c r="L26" s="16" t="str">
        <f>IF(Setup!B37&lt;&gt;"",Payroll_Nov!R30,"")</f>
        <v/>
      </c>
      <c r="M26" s="16" t="str">
        <f>IF(Setup!B37&lt;&gt;"",Payroll_Dec!R30,"")</f>
        <v/>
      </c>
      <c r="O26" s="17" t="str">
        <f>IF(Setup!B37&lt;&gt;"",SUM(B26:M26),"")</f>
        <v/>
      </c>
    </row>
    <row r="27" spans="1:15" ht="19.5" customHeight="1" x14ac:dyDescent="0.3">
      <c r="A27" s="18" t="str">
        <f>IF(Setup!B38&lt;&gt;"",Setup!B38,"")</f>
        <v/>
      </c>
      <c r="B27" s="19" t="str">
        <f>IF(Setup!B38&lt;&gt;"",Payroll_Jan!R31,"")</f>
        <v/>
      </c>
      <c r="C27" s="19" t="str">
        <f>IF(Setup!B38&lt;&gt;"",Payroll_Feb!R31,"")</f>
        <v/>
      </c>
      <c r="D27" s="19" t="str">
        <f>IF(Setup!B38&lt;&gt;"",Payroll_Mar!R31,"")</f>
        <v/>
      </c>
      <c r="E27" s="19" t="str">
        <f>IF(Setup!B38&lt;&gt;"",Payroll_Apr!R31,"")</f>
        <v/>
      </c>
      <c r="F27" s="19" t="str">
        <f>IF(Setup!B38&lt;&gt;"",Payroll_May!R31,"")</f>
        <v/>
      </c>
      <c r="G27" s="19" t="str">
        <f>IF(Setup!B38&lt;&gt;"",Payroll_Jun!R31,"")</f>
        <v/>
      </c>
      <c r="H27" s="19" t="str">
        <f>IF(Setup!B38&lt;&gt;"",Payroll_Jul!R31,"")</f>
        <v/>
      </c>
      <c r="I27" s="19" t="str">
        <f>IF(Setup!B38&lt;&gt;"",Payroll_Aug!R31,"")</f>
        <v/>
      </c>
      <c r="J27" s="19" t="str">
        <f>IF(Setup!B38&lt;&gt;"",Payroll_Sep!R31,"")</f>
        <v/>
      </c>
      <c r="K27" s="19" t="str">
        <f>IF(Setup!B38&lt;&gt;"",Payroll_Oct!R31,"")</f>
        <v/>
      </c>
      <c r="L27" s="19" t="str">
        <f>IF(Setup!B38&lt;&gt;"",Payroll_Nov!R31,"")</f>
        <v/>
      </c>
      <c r="M27" s="19" t="str">
        <f>IF(Setup!B38&lt;&gt;"",Payroll_Dec!R31,"")</f>
        <v/>
      </c>
      <c r="O27" s="17" t="str">
        <f>IF(Setup!B38&lt;&gt;"",SUM(B27:M27),"")</f>
        <v/>
      </c>
    </row>
    <row r="28" spans="1:15" ht="19.5" customHeight="1" x14ac:dyDescent="0.3">
      <c r="A28" s="1" t="str">
        <f>IF(Setup!B39&lt;&gt;"",Setup!B39,"")</f>
        <v/>
      </c>
      <c r="B28" s="16" t="str">
        <f>IF(Setup!B39&lt;&gt;"",Payroll_Jan!R32,"")</f>
        <v/>
      </c>
      <c r="C28" s="16" t="str">
        <f>IF(Setup!B39&lt;&gt;"",Payroll_Feb!R32,"")</f>
        <v/>
      </c>
      <c r="D28" s="16" t="str">
        <f>IF(Setup!B39&lt;&gt;"",Payroll_Mar!R32,"")</f>
        <v/>
      </c>
      <c r="E28" s="16" t="str">
        <f>IF(Setup!B39&lt;&gt;"",Payroll_Apr!R32,"")</f>
        <v/>
      </c>
      <c r="F28" s="16" t="str">
        <f>IF(Setup!B39&lt;&gt;"",Payroll_May!R32,"")</f>
        <v/>
      </c>
      <c r="G28" s="16" t="str">
        <f>IF(Setup!B39&lt;&gt;"",Payroll_Jun!R32,"")</f>
        <v/>
      </c>
      <c r="H28" s="16" t="str">
        <f>IF(Setup!B39&lt;&gt;"",Payroll_Jul!R32,"")</f>
        <v/>
      </c>
      <c r="I28" s="16" t="str">
        <f>IF(Setup!B39&lt;&gt;"",Payroll_Aug!R32,"")</f>
        <v/>
      </c>
      <c r="J28" s="16" t="str">
        <f>IF(Setup!B39&lt;&gt;"",Payroll_Sep!R32,"")</f>
        <v/>
      </c>
      <c r="K28" s="16" t="str">
        <f>IF(Setup!B39&lt;&gt;"",Payroll_Oct!R32,"")</f>
        <v/>
      </c>
      <c r="L28" s="16" t="str">
        <f>IF(Setup!B39&lt;&gt;"",Payroll_Nov!R32,"")</f>
        <v/>
      </c>
      <c r="M28" s="16" t="str">
        <f>IF(Setup!B39&lt;&gt;"",Payroll_Dec!R32,"")</f>
        <v/>
      </c>
      <c r="O28" s="17" t="str">
        <f>IF(Setup!B39&lt;&gt;"",SUM(B28:M28),"")</f>
        <v/>
      </c>
    </row>
    <row r="29" spans="1:15" ht="19.5" customHeight="1" x14ac:dyDescent="0.3">
      <c r="A29" s="18" t="str">
        <f>IF(Setup!B40&lt;&gt;"",Setup!B40,"")</f>
        <v/>
      </c>
      <c r="B29" s="19" t="str">
        <f>IF(Setup!B40&lt;&gt;"",Payroll_Jan!R33,"")</f>
        <v/>
      </c>
      <c r="C29" s="19" t="str">
        <f>IF(Setup!B40&lt;&gt;"",Payroll_Feb!R33,"")</f>
        <v/>
      </c>
      <c r="D29" s="19" t="str">
        <f>IF(Setup!B40&lt;&gt;"",Payroll_Mar!R33,"")</f>
        <v/>
      </c>
      <c r="E29" s="19" t="str">
        <f>IF(Setup!B40&lt;&gt;"",Payroll_Apr!R33,"")</f>
        <v/>
      </c>
      <c r="F29" s="19" t="str">
        <f>IF(Setup!B40&lt;&gt;"",Payroll_May!R33,"")</f>
        <v/>
      </c>
      <c r="G29" s="19" t="str">
        <f>IF(Setup!B40&lt;&gt;"",Payroll_Jun!R33,"")</f>
        <v/>
      </c>
      <c r="H29" s="19" t="str">
        <f>IF(Setup!B40&lt;&gt;"",Payroll_Jul!R33,"")</f>
        <v/>
      </c>
      <c r="I29" s="19" t="str">
        <f>IF(Setup!B40&lt;&gt;"",Payroll_Aug!R33,"")</f>
        <v/>
      </c>
      <c r="J29" s="19" t="str">
        <f>IF(Setup!B40&lt;&gt;"",Payroll_Sep!R33,"")</f>
        <v/>
      </c>
      <c r="K29" s="19" t="str">
        <f>IF(Setup!B40&lt;&gt;"",Payroll_Oct!R33,"")</f>
        <v/>
      </c>
      <c r="L29" s="19" t="str">
        <f>IF(Setup!B40&lt;&gt;"",Payroll_Nov!R33,"")</f>
        <v/>
      </c>
      <c r="M29" s="19" t="str">
        <f>IF(Setup!B40&lt;&gt;"",Payroll_Dec!R33,"")</f>
        <v/>
      </c>
      <c r="O29" s="17" t="str">
        <f>IF(Setup!B40&lt;&gt;"",SUM(B29:M29),"")</f>
        <v/>
      </c>
    </row>
    <row r="30" spans="1:15" ht="19.5" customHeight="1" x14ac:dyDescent="0.3">
      <c r="A30" s="1" t="str">
        <f>IF(Setup!B41&lt;&gt;"",Setup!B41,"")</f>
        <v/>
      </c>
      <c r="B30" s="16" t="str">
        <f>IF(Setup!B41&lt;&gt;"",Payroll_Jan!R34,"")</f>
        <v/>
      </c>
      <c r="C30" s="16" t="str">
        <f>IF(Setup!B41&lt;&gt;"",Payroll_Feb!R34,"")</f>
        <v/>
      </c>
      <c r="D30" s="16" t="str">
        <f>IF(Setup!B41&lt;&gt;"",Payroll_Mar!R34,"")</f>
        <v/>
      </c>
      <c r="E30" s="16" t="str">
        <f>IF(Setup!B41&lt;&gt;"",Payroll_Apr!R34,"")</f>
        <v/>
      </c>
      <c r="F30" s="16" t="str">
        <f>IF(Setup!B41&lt;&gt;"",Payroll_May!R34,"")</f>
        <v/>
      </c>
      <c r="G30" s="16" t="str">
        <f>IF(Setup!B41&lt;&gt;"",Payroll_Jun!R34,"")</f>
        <v/>
      </c>
      <c r="H30" s="16" t="str">
        <f>IF(Setup!B41&lt;&gt;"",Payroll_Jul!R34,"")</f>
        <v/>
      </c>
      <c r="I30" s="16" t="str">
        <f>IF(Setup!B41&lt;&gt;"",Payroll_Aug!R34,"")</f>
        <v/>
      </c>
      <c r="J30" s="16" t="str">
        <f>IF(Setup!B41&lt;&gt;"",Payroll_Sep!R34,"")</f>
        <v/>
      </c>
      <c r="K30" s="16" t="str">
        <f>IF(Setup!B41&lt;&gt;"",Payroll_Oct!R34,"")</f>
        <v/>
      </c>
      <c r="L30" s="16" t="str">
        <f>IF(Setup!B41&lt;&gt;"",Payroll_Nov!R34,"")</f>
        <v/>
      </c>
      <c r="M30" s="16" t="str">
        <f>IF(Setup!B41&lt;&gt;"",Payroll_Dec!R34,"")</f>
        <v/>
      </c>
      <c r="O30" s="17" t="str">
        <f>IF(Setup!B41&lt;&gt;"",SUM(B30:M30),"")</f>
        <v/>
      </c>
    </row>
    <row r="31" spans="1:15" ht="19.5" customHeight="1" x14ac:dyDescent="0.3">
      <c r="A31" s="18" t="str">
        <f>IF(Setup!B42&lt;&gt;"",Setup!B42,"")</f>
        <v/>
      </c>
      <c r="B31" s="19" t="str">
        <f>IF(Setup!B42&lt;&gt;"",Payroll_Jan!R35,"")</f>
        <v/>
      </c>
      <c r="C31" s="19" t="str">
        <f>IF(Setup!B42&lt;&gt;"",Payroll_Feb!R35,"")</f>
        <v/>
      </c>
      <c r="D31" s="19" t="str">
        <f>IF(Setup!B42&lt;&gt;"",Payroll_Mar!R35,"")</f>
        <v/>
      </c>
      <c r="E31" s="19" t="str">
        <f>IF(Setup!B42&lt;&gt;"",Payroll_Apr!R35,"")</f>
        <v/>
      </c>
      <c r="F31" s="19" t="str">
        <f>IF(Setup!B42&lt;&gt;"",Payroll_May!R35,"")</f>
        <v/>
      </c>
      <c r="G31" s="19" t="str">
        <f>IF(Setup!B42&lt;&gt;"",Payroll_Jun!R35,"")</f>
        <v/>
      </c>
      <c r="H31" s="19" t="str">
        <f>IF(Setup!B42&lt;&gt;"",Payroll_Jul!R35,"")</f>
        <v/>
      </c>
      <c r="I31" s="19" t="str">
        <f>IF(Setup!B42&lt;&gt;"",Payroll_Aug!R35,"")</f>
        <v/>
      </c>
      <c r="J31" s="19" t="str">
        <f>IF(Setup!B42&lt;&gt;"",Payroll_Sep!R35,"")</f>
        <v/>
      </c>
      <c r="K31" s="19" t="str">
        <f>IF(Setup!B42&lt;&gt;"",Payroll_Oct!R35,"")</f>
        <v/>
      </c>
      <c r="L31" s="19" t="str">
        <f>IF(Setup!B42&lt;&gt;"",Payroll_Nov!R35,"")</f>
        <v/>
      </c>
      <c r="M31" s="19" t="str">
        <f>IF(Setup!B42&lt;&gt;"",Payroll_Dec!R35,"")</f>
        <v/>
      </c>
      <c r="O31" s="17" t="str">
        <f>IF(Setup!B42&lt;&gt;"",SUM(B31:M31),"")</f>
        <v/>
      </c>
    </row>
    <row r="32" spans="1:15" ht="19.5" customHeight="1" x14ac:dyDescent="0.3">
      <c r="A32" s="1" t="str">
        <f>IF(Setup!B43&lt;&gt;"",Setup!B43,"")</f>
        <v/>
      </c>
      <c r="B32" s="16" t="str">
        <f>IF(Setup!B43&lt;&gt;"",Payroll_Jan!R36,"")</f>
        <v/>
      </c>
      <c r="C32" s="16" t="str">
        <f>IF(Setup!B43&lt;&gt;"",Payroll_Feb!R36,"")</f>
        <v/>
      </c>
      <c r="D32" s="16" t="str">
        <f>IF(Setup!B43&lt;&gt;"",Payroll_Mar!R36,"")</f>
        <v/>
      </c>
      <c r="E32" s="16" t="str">
        <f>IF(Setup!B43&lt;&gt;"",Payroll_Apr!R36,"")</f>
        <v/>
      </c>
      <c r="F32" s="16" t="str">
        <f>IF(Setup!B43&lt;&gt;"",Payroll_May!R36,"")</f>
        <v/>
      </c>
      <c r="G32" s="16" t="str">
        <f>IF(Setup!B43&lt;&gt;"",Payroll_Jun!R36,"")</f>
        <v/>
      </c>
      <c r="H32" s="16" t="str">
        <f>IF(Setup!B43&lt;&gt;"",Payroll_Jul!R36,"")</f>
        <v/>
      </c>
      <c r="I32" s="16" t="str">
        <f>IF(Setup!B43&lt;&gt;"",Payroll_Aug!R36,"")</f>
        <v/>
      </c>
      <c r="J32" s="16" t="str">
        <f>IF(Setup!B43&lt;&gt;"",Payroll_Sep!R36,"")</f>
        <v/>
      </c>
      <c r="K32" s="16" t="str">
        <f>IF(Setup!B43&lt;&gt;"",Payroll_Oct!R36,"")</f>
        <v/>
      </c>
      <c r="L32" s="16" t="str">
        <f>IF(Setup!B43&lt;&gt;"",Payroll_Nov!R36,"")</f>
        <v/>
      </c>
      <c r="M32" s="16" t="str">
        <f>IF(Setup!B43&lt;&gt;"",Payroll_Dec!R36,"")</f>
        <v/>
      </c>
      <c r="O32" s="17" t="str">
        <f>IF(Setup!B43&lt;&gt;"",SUM(B32:M32),"")</f>
        <v/>
      </c>
    </row>
    <row r="33" spans="1:15" ht="19.5" customHeight="1" x14ac:dyDescent="0.3">
      <c r="A33" s="18" t="str">
        <f>IF(Setup!B44&lt;&gt;"",Setup!B44,"")</f>
        <v/>
      </c>
      <c r="B33" s="19" t="str">
        <f>IF(Setup!B44&lt;&gt;"",Payroll_Jan!R37,"")</f>
        <v/>
      </c>
      <c r="C33" s="19" t="str">
        <f>IF(Setup!B44&lt;&gt;"",Payroll_Feb!R37,"")</f>
        <v/>
      </c>
      <c r="D33" s="19" t="str">
        <f>IF(Setup!B44&lt;&gt;"",Payroll_Mar!R37,"")</f>
        <v/>
      </c>
      <c r="E33" s="19" t="str">
        <f>IF(Setup!B44&lt;&gt;"",Payroll_Apr!R37,"")</f>
        <v/>
      </c>
      <c r="F33" s="19" t="str">
        <f>IF(Setup!B44&lt;&gt;"",Payroll_May!R37,"")</f>
        <v/>
      </c>
      <c r="G33" s="19" t="str">
        <f>IF(Setup!B44&lt;&gt;"",Payroll_Jun!R37,"")</f>
        <v/>
      </c>
      <c r="H33" s="19" t="str">
        <f>IF(Setup!B44&lt;&gt;"",Payroll_Jul!R37,"")</f>
        <v/>
      </c>
      <c r="I33" s="19" t="str">
        <f>IF(Setup!B44&lt;&gt;"",Payroll_Aug!R37,"")</f>
        <v/>
      </c>
      <c r="J33" s="19" t="str">
        <f>IF(Setup!B44&lt;&gt;"",Payroll_Sep!R37,"")</f>
        <v/>
      </c>
      <c r="K33" s="19" t="str">
        <f>IF(Setup!B44&lt;&gt;"",Payroll_Oct!R37,"")</f>
        <v/>
      </c>
      <c r="L33" s="19" t="str">
        <f>IF(Setup!B44&lt;&gt;"",Payroll_Nov!R37,"")</f>
        <v/>
      </c>
      <c r="M33" s="19" t="str">
        <f>IF(Setup!B44&lt;&gt;"",Payroll_Dec!R37,"")</f>
        <v/>
      </c>
      <c r="O33" s="17" t="str">
        <f>IF(Setup!B44&lt;&gt;"",SUM(B33:M33),"")</f>
        <v/>
      </c>
    </row>
    <row r="34" spans="1:15" ht="24" customHeight="1" x14ac:dyDescent="0.3">
      <c r="A34" s="13" t="s">
        <v>51</v>
      </c>
      <c r="B34" s="17">
        <f t="shared" ref="B34:O34" si="0">SUM(B4:B33)</f>
        <v>417097.91666666669</v>
      </c>
      <c r="C34" s="17">
        <f t="shared" si="0"/>
        <v>321899.73958333331</v>
      </c>
      <c r="D34" s="17">
        <f t="shared" si="0"/>
        <v>260708.65384615387</v>
      </c>
      <c r="E34" s="17">
        <f t="shared" si="0"/>
        <v>268940.26442307688</v>
      </c>
      <c r="F34" s="17">
        <f t="shared" si="0"/>
        <v>156841.83653846153</v>
      </c>
      <c r="G34" s="17">
        <f t="shared" si="0"/>
        <v>308860.75961538462</v>
      </c>
      <c r="H34" s="17">
        <f t="shared" si="0"/>
        <v>258624.30555555559</v>
      </c>
      <c r="I34" s="17">
        <f t="shared" si="0"/>
        <v>0</v>
      </c>
      <c r="J34" s="17">
        <f t="shared" si="0"/>
        <v>0</v>
      </c>
      <c r="K34" s="17">
        <f t="shared" si="0"/>
        <v>0</v>
      </c>
      <c r="L34" s="17">
        <f t="shared" si="0"/>
        <v>0</v>
      </c>
      <c r="M34" s="17">
        <f t="shared" si="0"/>
        <v>0</v>
      </c>
      <c r="N34" s="17">
        <f t="shared" si="0"/>
        <v>0</v>
      </c>
      <c r="O34" s="17">
        <f t="shared" si="0"/>
        <v>1992973.4762286325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H40"/>
  <sheetViews>
    <sheetView showGridLines="0" zoomScaleNormal="100" workbookViewId="0">
      <pane xSplit="4" ySplit="6" topLeftCell="G7" activePane="bottomRight" state="frozen"/>
      <selection pane="topRight" activeCell="E1" sqref="E1"/>
      <selection pane="bottomLeft" activeCell="A7" sqref="A7"/>
      <selection pane="bottomRight" sqref="A1:AH1"/>
    </sheetView>
  </sheetViews>
  <sheetFormatPr defaultColWidth="8.5546875" defaultRowHeight="14.4" x14ac:dyDescent="0.3"/>
  <cols>
    <col min="1" max="1" width="13" customWidth="1"/>
    <col min="2" max="2" width="5" customWidth="1"/>
    <col min="3" max="3" width="7" customWidth="1"/>
    <col min="4" max="4" width="9" customWidth="1"/>
    <col min="5" max="34" width="10" customWidth="1"/>
  </cols>
  <sheetData>
    <row r="1" spans="1:34" ht="31.5" customHeight="1" x14ac:dyDescent="0.3">
      <c r="A1" s="54" t="s">
        <v>52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 ht="19.5" customHeight="1" x14ac:dyDescent="0.3">
      <c r="A2" s="1" t="s">
        <v>53</v>
      </c>
      <c r="B2" s="10" t="s">
        <v>54</v>
      </c>
    </row>
    <row r="3" spans="1:34" ht="19.5" customHeight="1" x14ac:dyDescent="0.3">
      <c r="A3" s="1" t="s">
        <v>55</v>
      </c>
      <c r="B3" s="2">
        <f>Setup!B8</f>
        <v>8</v>
      </c>
    </row>
    <row r="4" spans="1:34" ht="19.5" customHeight="1" x14ac:dyDescent="0.3">
      <c r="A4" s="1" t="s">
        <v>56</v>
      </c>
      <c r="B4" s="10">
        <v>216</v>
      </c>
    </row>
    <row r="6" spans="1:34" ht="31.5" customHeight="1" x14ac:dyDescent="0.3">
      <c r="A6" s="20" t="s">
        <v>4</v>
      </c>
      <c r="B6" s="20" t="s">
        <v>57</v>
      </c>
      <c r="C6" s="20" t="s">
        <v>58</v>
      </c>
      <c r="D6" s="20" t="s">
        <v>59</v>
      </c>
      <c r="E6" s="21" t="str">
        <f>Setup!B15</f>
        <v>Sheraz</v>
      </c>
      <c r="F6" s="21" t="str">
        <f>Setup!B16</f>
        <v>Zain</v>
      </c>
      <c r="G6" s="21" t="str">
        <f>Setup!B17</f>
        <v>Yousaf</v>
      </c>
      <c r="H6" s="21" t="str">
        <f>Setup!B18</f>
        <v>Hamza</v>
      </c>
      <c r="I6" s="21" t="str">
        <f>Setup!B19</f>
        <v>Amjad</v>
      </c>
      <c r="J6" s="21" t="str">
        <f>Setup!B20</f>
        <v>Tanveer</v>
      </c>
      <c r="K6" s="21" t="str">
        <f>Setup!B21</f>
        <v>Ali Zaman</v>
      </c>
      <c r="L6" s="21" t="str">
        <f>Setup!B22</f>
        <v>Awais Ali</v>
      </c>
      <c r="M6" s="21" t="str">
        <f>Setup!B23</f>
        <v>Ishtiaq</v>
      </c>
      <c r="N6" s="21" t="str">
        <f>Setup!B24</f>
        <v>Usama bhai</v>
      </c>
      <c r="O6" s="21" t="str">
        <f>Setup!B25</f>
        <v>Ahtisham</v>
      </c>
      <c r="P6" s="21" t="str">
        <f>Setup!B26</f>
        <v>Factory rent</v>
      </c>
      <c r="Q6" s="21" t="str">
        <f>Setup!B27</f>
        <v>Internet bill</v>
      </c>
      <c r="R6" s="21" t="str">
        <f>Setup!B28</f>
        <v>Saqab</v>
      </c>
      <c r="S6" s="21">
        <f>Setup!B29</f>
        <v>0</v>
      </c>
      <c r="T6" s="21">
        <f>Setup!B30</f>
        <v>0</v>
      </c>
      <c r="U6" s="21">
        <f>Setup!B31</f>
        <v>0</v>
      </c>
      <c r="V6" s="21">
        <f>Setup!B32</f>
        <v>0</v>
      </c>
      <c r="W6" s="21">
        <f>Setup!B33</f>
        <v>0</v>
      </c>
      <c r="X6" s="21">
        <f>Setup!B34</f>
        <v>0</v>
      </c>
      <c r="Y6" s="21">
        <f>Setup!B35</f>
        <v>0</v>
      </c>
      <c r="Z6" s="21">
        <f>Setup!B36</f>
        <v>0</v>
      </c>
      <c r="AA6" s="21">
        <f>Setup!B37</f>
        <v>0</v>
      </c>
      <c r="AB6" s="21">
        <f>Setup!B38</f>
        <v>0</v>
      </c>
      <c r="AC6" s="21">
        <f>Setup!B39</f>
        <v>0</v>
      </c>
      <c r="AD6" s="21">
        <f>Setup!B40</f>
        <v>0</v>
      </c>
      <c r="AE6" s="21">
        <f>Setup!B41</f>
        <v>0</v>
      </c>
      <c r="AF6" s="21">
        <f>Setup!B42</f>
        <v>0</v>
      </c>
      <c r="AG6" s="21">
        <f>Setup!B43</f>
        <v>0</v>
      </c>
      <c r="AH6" s="21">
        <f>Setup!B44</f>
        <v>0</v>
      </c>
    </row>
    <row r="7" spans="1:34" ht="16.5" customHeight="1" x14ac:dyDescent="0.3">
      <c r="A7" s="22">
        <v>46023</v>
      </c>
      <c r="B7" s="23" t="s">
        <v>60</v>
      </c>
      <c r="C7" s="24" t="s">
        <v>61</v>
      </c>
      <c r="D7" s="25">
        <v>8</v>
      </c>
      <c r="E7" s="26">
        <v>7.3</v>
      </c>
      <c r="F7" s="26">
        <v>8.1</v>
      </c>
      <c r="G7" s="26">
        <v>8</v>
      </c>
      <c r="H7" s="26">
        <v>6</v>
      </c>
      <c r="I7" s="26">
        <v>9</v>
      </c>
      <c r="J7" s="26">
        <v>5</v>
      </c>
      <c r="K7" s="26">
        <v>8</v>
      </c>
      <c r="L7" s="26">
        <v>6</v>
      </c>
      <c r="M7" s="26">
        <v>9</v>
      </c>
      <c r="N7" s="26">
        <v>5</v>
      </c>
      <c r="O7" s="26">
        <v>6</v>
      </c>
      <c r="P7" s="26">
        <v>8</v>
      </c>
      <c r="Q7" s="26">
        <v>0</v>
      </c>
      <c r="R7" s="26">
        <v>0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ht="16.5" customHeight="1" x14ac:dyDescent="0.3">
      <c r="A8" s="27">
        <v>46024</v>
      </c>
      <c r="B8" s="28" t="s">
        <v>62</v>
      </c>
      <c r="C8" s="29" t="s">
        <v>61</v>
      </c>
      <c r="D8" s="30">
        <v>8</v>
      </c>
      <c r="E8" s="31">
        <v>7</v>
      </c>
      <c r="F8" s="31">
        <v>8</v>
      </c>
      <c r="G8" s="31">
        <v>8</v>
      </c>
      <c r="H8" s="31">
        <v>6</v>
      </c>
      <c r="I8" s="31">
        <v>9</v>
      </c>
      <c r="J8" s="31">
        <v>5</v>
      </c>
      <c r="K8" s="31">
        <v>8</v>
      </c>
      <c r="L8" s="31">
        <v>6</v>
      </c>
      <c r="M8" s="31">
        <v>9</v>
      </c>
      <c r="N8" s="31">
        <v>5</v>
      </c>
      <c r="O8" s="31">
        <v>6</v>
      </c>
      <c r="P8" s="31">
        <v>8</v>
      </c>
      <c r="Q8" s="31">
        <v>0</v>
      </c>
      <c r="R8" s="31">
        <v>0</v>
      </c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16.5" customHeight="1" x14ac:dyDescent="0.3">
      <c r="A9" s="22">
        <v>46025</v>
      </c>
      <c r="B9" s="23" t="s">
        <v>63</v>
      </c>
      <c r="C9" s="24" t="s">
        <v>61</v>
      </c>
      <c r="D9" s="25">
        <v>8</v>
      </c>
      <c r="E9" s="26">
        <v>7</v>
      </c>
      <c r="F9" s="26">
        <v>8</v>
      </c>
      <c r="G9" s="26">
        <v>8</v>
      </c>
      <c r="H9" s="26">
        <v>6</v>
      </c>
      <c r="I9" s="26">
        <v>9</v>
      </c>
      <c r="J9" s="26">
        <v>5</v>
      </c>
      <c r="K9" s="26">
        <v>8</v>
      </c>
      <c r="L9" s="26">
        <v>6</v>
      </c>
      <c r="M9" s="26">
        <v>9</v>
      </c>
      <c r="N9" s="26">
        <v>5</v>
      </c>
      <c r="O9" s="26">
        <v>6</v>
      </c>
      <c r="P9" s="26">
        <v>8</v>
      </c>
      <c r="Q9" s="26">
        <v>0</v>
      </c>
      <c r="R9" s="26">
        <v>0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 ht="16.5" customHeight="1" x14ac:dyDescent="0.3">
      <c r="A10" s="32">
        <v>46026</v>
      </c>
      <c r="B10" s="33" t="s">
        <v>64</v>
      </c>
      <c r="C10" s="33" t="s">
        <v>64</v>
      </c>
      <c r="D10" s="34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</row>
    <row r="11" spans="1:34" ht="16.5" customHeight="1" x14ac:dyDescent="0.3">
      <c r="A11" s="22">
        <v>46027</v>
      </c>
      <c r="B11" s="23" t="s">
        <v>65</v>
      </c>
      <c r="C11" s="24" t="s">
        <v>61</v>
      </c>
      <c r="D11" s="25">
        <v>8</v>
      </c>
      <c r="E11" s="26">
        <v>7</v>
      </c>
      <c r="F11" s="26">
        <v>8</v>
      </c>
      <c r="G11" s="26">
        <v>8</v>
      </c>
      <c r="H11" s="26">
        <v>6</v>
      </c>
      <c r="I11" s="26">
        <v>9</v>
      </c>
      <c r="J11" s="26">
        <v>5</v>
      </c>
      <c r="K11" s="26">
        <v>8</v>
      </c>
      <c r="L11" s="26">
        <v>6</v>
      </c>
      <c r="M11" s="26">
        <v>9</v>
      </c>
      <c r="N11" s="26">
        <v>5</v>
      </c>
      <c r="O11" s="26">
        <v>6</v>
      </c>
      <c r="P11" s="26">
        <v>8.5</v>
      </c>
      <c r="Q11" s="26">
        <v>0</v>
      </c>
      <c r="R11" s="26">
        <v>0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ht="16.5" customHeight="1" x14ac:dyDescent="0.3">
      <c r="A12" s="27">
        <v>46028</v>
      </c>
      <c r="B12" s="28" t="s">
        <v>66</v>
      </c>
      <c r="C12" s="29" t="s">
        <v>61</v>
      </c>
      <c r="D12" s="30">
        <v>8</v>
      </c>
      <c r="E12" s="31">
        <v>7</v>
      </c>
      <c r="F12" s="31">
        <v>8</v>
      </c>
      <c r="G12" s="31">
        <v>8</v>
      </c>
      <c r="H12" s="31">
        <v>6</v>
      </c>
      <c r="I12" s="31">
        <v>9</v>
      </c>
      <c r="J12" s="31">
        <v>5</v>
      </c>
      <c r="K12" s="31">
        <v>8</v>
      </c>
      <c r="L12" s="31">
        <v>6</v>
      </c>
      <c r="M12" s="31">
        <v>9</v>
      </c>
      <c r="N12" s="31">
        <v>5</v>
      </c>
      <c r="O12" s="31">
        <v>6</v>
      </c>
      <c r="P12" s="31">
        <v>8</v>
      </c>
      <c r="Q12" s="31">
        <v>0</v>
      </c>
      <c r="R12" s="31">
        <v>0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4" ht="16.5" customHeight="1" x14ac:dyDescent="0.3">
      <c r="A13" s="22">
        <v>46029</v>
      </c>
      <c r="B13" s="23" t="s">
        <v>67</v>
      </c>
      <c r="C13" s="24" t="s">
        <v>61</v>
      </c>
      <c r="D13" s="25">
        <v>8</v>
      </c>
      <c r="E13" s="26">
        <v>7</v>
      </c>
      <c r="F13" s="26">
        <v>8</v>
      </c>
      <c r="G13" s="26">
        <v>8</v>
      </c>
      <c r="H13" s="26">
        <v>6</v>
      </c>
      <c r="I13" s="26">
        <v>9</v>
      </c>
      <c r="J13" s="26">
        <v>5</v>
      </c>
      <c r="K13" s="26">
        <v>8</v>
      </c>
      <c r="L13" s="26">
        <v>6</v>
      </c>
      <c r="M13" s="26">
        <v>9</v>
      </c>
      <c r="N13" s="26">
        <v>5</v>
      </c>
      <c r="O13" s="26">
        <v>6.4</v>
      </c>
      <c r="P13" s="26">
        <v>8</v>
      </c>
      <c r="Q13" s="26">
        <v>0</v>
      </c>
      <c r="R13" s="26">
        <v>0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ht="16.5" customHeight="1" x14ac:dyDescent="0.3">
      <c r="A14" s="27">
        <v>46030</v>
      </c>
      <c r="B14" s="28" t="s">
        <v>60</v>
      </c>
      <c r="C14" s="29" t="s">
        <v>61</v>
      </c>
      <c r="D14" s="30">
        <v>8</v>
      </c>
      <c r="E14" s="31">
        <v>7</v>
      </c>
      <c r="F14" s="31">
        <v>8</v>
      </c>
      <c r="G14" s="31">
        <v>8</v>
      </c>
      <c r="H14" s="31">
        <v>6</v>
      </c>
      <c r="I14" s="31">
        <v>9</v>
      </c>
      <c r="J14" s="31">
        <v>5</v>
      </c>
      <c r="K14" s="31">
        <v>8</v>
      </c>
      <c r="L14" s="31">
        <v>6</v>
      </c>
      <c r="M14" s="31">
        <v>9</v>
      </c>
      <c r="N14" s="31">
        <v>5</v>
      </c>
      <c r="O14" s="31">
        <v>6</v>
      </c>
      <c r="P14" s="31">
        <v>8</v>
      </c>
      <c r="Q14" s="31">
        <v>0</v>
      </c>
      <c r="R14" s="31">
        <v>0</v>
      </c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</row>
    <row r="15" spans="1:34" ht="16.5" customHeight="1" x14ac:dyDescent="0.3">
      <c r="A15" s="22">
        <v>46031</v>
      </c>
      <c r="B15" s="23" t="s">
        <v>62</v>
      </c>
      <c r="C15" s="24" t="s">
        <v>61</v>
      </c>
      <c r="D15" s="25">
        <v>8</v>
      </c>
      <c r="E15" s="26">
        <v>7</v>
      </c>
      <c r="F15" s="26">
        <v>8</v>
      </c>
      <c r="G15" s="26">
        <v>5</v>
      </c>
      <c r="H15" s="26">
        <v>6</v>
      </c>
      <c r="I15" s="26">
        <v>9</v>
      </c>
      <c r="J15" s="26">
        <v>5</v>
      </c>
      <c r="K15" s="26">
        <v>8</v>
      </c>
      <c r="L15" s="26">
        <v>6</v>
      </c>
      <c r="M15" s="26">
        <v>9</v>
      </c>
      <c r="N15" s="26">
        <v>5</v>
      </c>
      <c r="O15" s="26">
        <v>6</v>
      </c>
      <c r="P15" s="26">
        <v>8</v>
      </c>
      <c r="Q15" s="26">
        <v>0</v>
      </c>
      <c r="R15" s="26">
        <v>0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16.5" customHeight="1" x14ac:dyDescent="0.3">
      <c r="A16" s="27">
        <v>46032</v>
      </c>
      <c r="B16" s="28" t="s">
        <v>63</v>
      </c>
      <c r="C16" s="29" t="s">
        <v>61</v>
      </c>
      <c r="D16" s="30">
        <v>8</v>
      </c>
      <c r="E16" s="31">
        <v>7</v>
      </c>
      <c r="F16" s="31">
        <v>8</v>
      </c>
      <c r="G16" s="31">
        <v>8</v>
      </c>
      <c r="H16" s="31">
        <v>6</v>
      </c>
      <c r="I16" s="31">
        <v>9</v>
      </c>
      <c r="J16" s="31">
        <v>5</v>
      </c>
      <c r="K16" s="31">
        <v>8</v>
      </c>
      <c r="L16" s="31">
        <v>6</v>
      </c>
      <c r="M16" s="31">
        <v>9</v>
      </c>
      <c r="N16" s="31">
        <v>5</v>
      </c>
      <c r="O16" s="31">
        <v>6</v>
      </c>
      <c r="P16" s="31">
        <v>8</v>
      </c>
      <c r="Q16" s="31">
        <v>0</v>
      </c>
      <c r="R16" s="31">
        <v>0</v>
      </c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</row>
    <row r="17" spans="1:34" ht="16.5" customHeight="1" x14ac:dyDescent="0.3">
      <c r="A17" s="32">
        <v>46033</v>
      </c>
      <c r="B17" s="33" t="s">
        <v>64</v>
      </c>
      <c r="C17" s="33" t="s">
        <v>64</v>
      </c>
      <c r="D17" s="34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</row>
    <row r="18" spans="1:34" ht="16.5" customHeight="1" x14ac:dyDescent="0.3">
      <c r="A18" s="27">
        <v>46034</v>
      </c>
      <c r="B18" s="28" t="s">
        <v>65</v>
      </c>
      <c r="C18" s="29" t="s">
        <v>61</v>
      </c>
      <c r="D18" s="30">
        <v>8</v>
      </c>
      <c r="E18" s="31">
        <v>7</v>
      </c>
      <c r="F18" s="31">
        <v>8</v>
      </c>
      <c r="G18" s="31">
        <v>8</v>
      </c>
      <c r="H18" s="31">
        <v>6.3</v>
      </c>
      <c r="I18" s="31">
        <v>9</v>
      </c>
      <c r="J18" s="31">
        <v>5</v>
      </c>
      <c r="K18" s="31">
        <v>8</v>
      </c>
      <c r="L18" s="31">
        <v>6</v>
      </c>
      <c r="M18" s="31">
        <v>9</v>
      </c>
      <c r="N18" s="31">
        <v>5</v>
      </c>
      <c r="O18" s="31">
        <v>6</v>
      </c>
      <c r="P18" s="31">
        <v>8</v>
      </c>
      <c r="Q18" s="31">
        <v>0</v>
      </c>
      <c r="R18" s="31">
        <v>0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</row>
    <row r="19" spans="1:34" ht="16.5" customHeight="1" x14ac:dyDescent="0.3">
      <c r="A19" s="22">
        <v>46035</v>
      </c>
      <c r="B19" s="23" t="s">
        <v>66</v>
      </c>
      <c r="C19" s="24" t="s">
        <v>61</v>
      </c>
      <c r="D19" s="25">
        <v>8</v>
      </c>
      <c r="E19" s="26">
        <v>7</v>
      </c>
      <c r="F19" s="26">
        <v>8</v>
      </c>
      <c r="G19" s="26">
        <v>8</v>
      </c>
      <c r="H19" s="26">
        <v>6</v>
      </c>
      <c r="I19" s="26">
        <v>9</v>
      </c>
      <c r="J19" s="26">
        <v>5</v>
      </c>
      <c r="K19" s="26">
        <v>8</v>
      </c>
      <c r="L19" s="26">
        <v>6</v>
      </c>
      <c r="M19" s="26">
        <v>9</v>
      </c>
      <c r="N19" s="26">
        <v>5</v>
      </c>
      <c r="O19" s="26">
        <v>6</v>
      </c>
      <c r="P19" s="26">
        <v>8</v>
      </c>
      <c r="Q19" s="26">
        <v>0</v>
      </c>
      <c r="R19" s="26">
        <v>0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16.5" customHeight="1" x14ac:dyDescent="0.3">
      <c r="A20" s="27">
        <v>46036</v>
      </c>
      <c r="B20" s="28" t="s">
        <v>67</v>
      </c>
      <c r="C20" s="29" t="s">
        <v>61</v>
      </c>
      <c r="D20" s="30">
        <v>8</v>
      </c>
      <c r="E20" s="31">
        <v>7</v>
      </c>
      <c r="F20" s="31">
        <v>8</v>
      </c>
      <c r="G20" s="31">
        <v>8</v>
      </c>
      <c r="H20" s="31">
        <v>6</v>
      </c>
      <c r="I20" s="31">
        <v>9</v>
      </c>
      <c r="J20" s="31">
        <v>5</v>
      </c>
      <c r="K20" s="31">
        <v>8</v>
      </c>
      <c r="L20" s="31">
        <v>6</v>
      </c>
      <c r="M20" s="31">
        <v>9</v>
      </c>
      <c r="N20" s="31">
        <v>5</v>
      </c>
      <c r="O20" s="31">
        <v>6</v>
      </c>
      <c r="P20" s="31">
        <v>8</v>
      </c>
      <c r="Q20" s="31">
        <v>0</v>
      </c>
      <c r="R20" s="31">
        <v>0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spans="1:34" ht="16.5" customHeight="1" x14ac:dyDescent="0.3">
      <c r="A21" s="22">
        <v>46037</v>
      </c>
      <c r="B21" s="23" t="s">
        <v>60</v>
      </c>
      <c r="C21" s="24" t="s">
        <v>61</v>
      </c>
      <c r="D21" s="25">
        <v>8</v>
      </c>
      <c r="E21" s="26">
        <v>7</v>
      </c>
      <c r="F21" s="26">
        <v>8</v>
      </c>
      <c r="G21" s="26">
        <v>8.3000000000000007</v>
      </c>
      <c r="H21" s="26">
        <v>6</v>
      </c>
      <c r="I21" s="26">
        <v>9</v>
      </c>
      <c r="J21" s="26">
        <v>5</v>
      </c>
      <c r="K21" s="26">
        <v>7.45</v>
      </c>
      <c r="L21" s="26">
        <v>6</v>
      </c>
      <c r="M21" s="26">
        <v>9</v>
      </c>
      <c r="N21" s="26">
        <v>5</v>
      </c>
      <c r="O21" s="26">
        <v>6</v>
      </c>
      <c r="P21" s="26">
        <v>8</v>
      </c>
      <c r="Q21" s="26">
        <v>0</v>
      </c>
      <c r="R21" s="26">
        <v>0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16.5" customHeight="1" x14ac:dyDescent="0.3">
      <c r="A22" s="27">
        <v>46038</v>
      </c>
      <c r="B22" s="28" t="s">
        <v>62</v>
      </c>
      <c r="C22" s="29" t="s">
        <v>61</v>
      </c>
      <c r="D22" s="30">
        <v>8</v>
      </c>
      <c r="E22" s="31">
        <v>7</v>
      </c>
      <c r="F22" s="31">
        <v>8</v>
      </c>
      <c r="G22" s="31">
        <v>8</v>
      </c>
      <c r="H22" s="31">
        <v>6</v>
      </c>
      <c r="I22" s="31">
        <v>9</v>
      </c>
      <c r="J22" s="31">
        <v>5</v>
      </c>
      <c r="K22" s="31">
        <v>8</v>
      </c>
      <c r="L22" s="31">
        <v>6</v>
      </c>
      <c r="M22" s="31">
        <v>9</v>
      </c>
      <c r="N22" s="31">
        <v>5</v>
      </c>
      <c r="O22" s="31">
        <v>6</v>
      </c>
      <c r="P22" s="31">
        <v>8</v>
      </c>
      <c r="Q22" s="31">
        <v>0</v>
      </c>
      <c r="R22" s="31">
        <v>0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 spans="1:34" ht="16.5" customHeight="1" x14ac:dyDescent="0.3">
      <c r="A23" s="22">
        <v>46039</v>
      </c>
      <c r="B23" s="23" t="s">
        <v>63</v>
      </c>
      <c r="C23" s="24" t="s">
        <v>61</v>
      </c>
      <c r="D23" s="25">
        <v>8</v>
      </c>
      <c r="E23" s="26">
        <v>7</v>
      </c>
      <c r="F23" s="26">
        <v>8</v>
      </c>
      <c r="G23" s="26">
        <v>8</v>
      </c>
      <c r="H23" s="26">
        <v>6</v>
      </c>
      <c r="I23" s="26">
        <v>9</v>
      </c>
      <c r="J23" s="26">
        <v>5</v>
      </c>
      <c r="K23" s="26">
        <v>8</v>
      </c>
      <c r="L23" s="26">
        <v>6</v>
      </c>
      <c r="M23" s="26">
        <v>9</v>
      </c>
      <c r="N23" s="26">
        <v>5</v>
      </c>
      <c r="O23" s="26">
        <v>6</v>
      </c>
      <c r="P23" s="26">
        <v>8</v>
      </c>
      <c r="Q23" s="26">
        <v>0</v>
      </c>
      <c r="R23" s="26">
        <v>0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16.5" customHeight="1" x14ac:dyDescent="0.3">
      <c r="A24" s="32">
        <v>46040</v>
      </c>
      <c r="B24" s="33" t="s">
        <v>64</v>
      </c>
      <c r="C24" s="33" t="s">
        <v>64</v>
      </c>
      <c r="D24" s="34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</row>
    <row r="25" spans="1:34" ht="16.5" customHeight="1" x14ac:dyDescent="0.3">
      <c r="A25" s="22">
        <v>46041</v>
      </c>
      <c r="B25" s="23" t="s">
        <v>65</v>
      </c>
      <c r="C25" s="24" t="s">
        <v>61</v>
      </c>
      <c r="D25" s="25">
        <v>8</v>
      </c>
      <c r="E25" s="26">
        <v>7</v>
      </c>
      <c r="F25" s="26">
        <v>8</v>
      </c>
      <c r="G25" s="26">
        <v>8</v>
      </c>
      <c r="H25" s="26">
        <v>6</v>
      </c>
      <c r="I25" s="26">
        <v>9</v>
      </c>
      <c r="J25" s="26">
        <v>5</v>
      </c>
      <c r="K25" s="26">
        <v>8</v>
      </c>
      <c r="L25" s="26">
        <v>6</v>
      </c>
      <c r="M25" s="26">
        <v>9</v>
      </c>
      <c r="N25" s="26">
        <v>5</v>
      </c>
      <c r="O25" s="26">
        <v>6</v>
      </c>
      <c r="P25" s="26">
        <v>8</v>
      </c>
      <c r="Q25" s="26">
        <v>0</v>
      </c>
      <c r="R25" s="26">
        <v>0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16.5" customHeight="1" x14ac:dyDescent="0.3">
      <c r="A26" s="27">
        <v>46042</v>
      </c>
      <c r="B26" s="28" t="s">
        <v>66</v>
      </c>
      <c r="C26" s="29" t="s">
        <v>61</v>
      </c>
      <c r="D26" s="30">
        <v>8</v>
      </c>
      <c r="E26" s="31">
        <v>7</v>
      </c>
      <c r="F26" s="31">
        <v>8</v>
      </c>
      <c r="G26" s="31">
        <v>8</v>
      </c>
      <c r="H26" s="31">
        <v>6</v>
      </c>
      <c r="I26" s="31">
        <v>9</v>
      </c>
      <c r="J26" s="31">
        <v>5</v>
      </c>
      <c r="K26" s="31">
        <v>8</v>
      </c>
      <c r="L26" s="31">
        <v>6</v>
      </c>
      <c r="M26" s="31">
        <v>9</v>
      </c>
      <c r="N26" s="31">
        <v>5</v>
      </c>
      <c r="O26" s="31">
        <v>6.5</v>
      </c>
      <c r="P26" s="31">
        <v>8</v>
      </c>
      <c r="Q26" s="31">
        <v>0</v>
      </c>
      <c r="R26" s="31">
        <v>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 spans="1:34" ht="16.5" customHeight="1" x14ac:dyDescent="0.3">
      <c r="A27" s="22">
        <v>46043</v>
      </c>
      <c r="B27" s="23" t="s">
        <v>67</v>
      </c>
      <c r="C27" s="24" t="s">
        <v>61</v>
      </c>
      <c r="D27" s="25">
        <v>8</v>
      </c>
      <c r="E27" s="26">
        <v>7</v>
      </c>
      <c r="F27" s="26">
        <v>8</v>
      </c>
      <c r="G27" s="26">
        <v>8</v>
      </c>
      <c r="H27" s="26">
        <v>6</v>
      </c>
      <c r="I27" s="26">
        <v>9</v>
      </c>
      <c r="J27" s="26">
        <v>5</v>
      </c>
      <c r="K27" s="26">
        <v>8</v>
      </c>
      <c r="L27" s="26">
        <v>6</v>
      </c>
      <c r="M27" s="26">
        <v>9</v>
      </c>
      <c r="N27" s="26">
        <v>5</v>
      </c>
      <c r="O27" s="26">
        <v>6</v>
      </c>
      <c r="P27" s="26">
        <v>8</v>
      </c>
      <c r="Q27" s="26">
        <v>0</v>
      </c>
      <c r="R27" s="26">
        <v>0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16.5" customHeight="1" x14ac:dyDescent="0.3">
      <c r="A28" s="27">
        <v>46044</v>
      </c>
      <c r="B28" s="28" t="s">
        <v>60</v>
      </c>
      <c r="C28" s="29" t="s">
        <v>61</v>
      </c>
      <c r="D28" s="30">
        <v>8</v>
      </c>
      <c r="E28" s="31">
        <v>7</v>
      </c>
      <c r="F28" s="31">
        <v>8</v>
      </c>
      <c r="G28" s="31">
        <v>8</v>
      </c>
      <c r="H28" s="31">
        <v>6</v>
      </c>
      <c r="I28" s="31">
        <v>9</v>
      </c>
      <c r="J28" s="31">
        <v>5</v>
      </c>
      <c r="K28" s="31">
        <v>8</v>
      </c>
      <c r="L28" s="31">
        <v>6</v>
      </c>
      <c r="M28" s="31">
        <v>9</v>
      </c>
      <c r="N28" s="31">
        <v>5</v>
      </c>
      <c r="O28" s="31">
        <v>6</v>
      </c>
      <c r="P28" s="31">
        <v>8</v>
      </c>
      <c r="Q28" s="31">
        <v>0</v>
      </c>
      <c r="R28" s="31">
        <v>0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</row>
    <row r="29" spans="1:34" ht="16.5" customHeight="1" x14ac:dyDescent="0.3">
      <c r="A29" s="22">
        <v>46045</v>
      </c>
      <c r="B29" s="23" t="s">
        <v>62</v>
      </c>
      <c r="C29" s="24" t="s">
        <v>61</v>
      </c>
      <c r="D29" s="25">
        <v>8</v>
      </c>
      <c r="E29" s="26">
        <v>7</v>
      </c>
      <c r="F29" s="26">
        <v>8</v>
      </c>
      <c r="G29" s="26">
        <v>8</v>
      </c>
      <c r="H29" s="26">
        <v>6</v>
      </c>
      <c r="I29" s="26">
        <v>9</v>
      </c>
      <c r="J29" s="26">
        <v>5</v>
      </c>
      <c r="K29" s="26">
        <v>8</v>
      </c>
      <c r="L29" s="26">
        <v>6</v>
      </c>
      <c r="M29" s="26">
        <v>9</v>
      </c>
      <c r="N29" s="26">
        <v>5</v>
      </c>
      <c r="O29" s="26">
        <v>6</v>
      </c>
      <c r="P29" s="26">
        <v>8</v>
      </c>
      <c r="Q29" s="26">
        <v>0</v>
      </c>
      <c r="R29" s="26">
        <v>0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ht="16.5" customHeight="1" x14ac:dyDescent="0.3">
      <c r="A30" s="27">
        <v>46046</v>
      </c>
      <c r="B30" s="28" t="s">
        <v>63</v>
      </c>
      <c r="C30" s="29" t="s">
        <v>61</v>
      </c>
      <c r="D30" s="30">
        <v>8</v>
      </c>
      <c r="E30" s="31">
        <v>7</v>
      </c>
      <c r="F30" s="31">
        <v>8</v>
      </c>
      <c r="G30" s="31">
        <v>8</v>
      </c>
      <c r="H30" s="31">
        <v>6</v>
      </c>
      <c r="I30" s="31">
        <v>9</v>
      </c>
      <c r="J30" s="31">
        <v>5</v>
      </c>
      <c r="K30" s="31">
        <v>8</v>
      </c>
      <c r="L30" s="31">
        <v>6</v>
      </c>
      <c r="M30" s="31">
        <v>9</v>
      </c>
      <c r="N30" s="31">
        <v>5</v>
      </c>
      <c r="O30" s="31">
        <v>6</v>
      </c>
      <c r="P30" s="31">
        <v>8</v>
      </c>
      <c r="Q30" s="31">
        <v>0</v>
      </c>
      <c r="R30" s="31">
        <v>0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 spans="1:34" ht="16.5" customHeight="1" x14ac:dyDescent="0.3">
      <c r="A31" s="32">
        <v>46047</v>
      </c>
      <c r="B31" s="33" t="s">
        <v>64</v>
      </c>
      <c r="C31" s="33" t="s">
        <v>64</v>
      </c>
      <c r="D31" s="34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</row>
    <row r="32" spans="1:34" ht="16.5" customHeight="1" x14ac:dyDescent="0.3">
      <c r="A32" s="27">
        <v>46048</v>
      </c>
      <c r="B32" s="28" t="s">
        <v>65</v>
      </c>
      <c r="C32" s="29" t="s">
        <v>61</v>
      </c>
      <c r="D32" s="30">
        <v>8</v>
      </c>
      <c r="E32" s="31">
        <v>7</v>
      </c>
      <c r="F32" s="31">
        <v>8</v>
      </c>
      <c r="G32" s="31">
        <v>8</v>
      </c>
      <c r="H32" s="31">
        <v>6</v>
      </c>
      <c r="I32" s="31">
        <v>9</v>
      </c>
      <c r="J32" s="31">
        <v>5</v>
      </c>
      <c r="K32" s="31">
        <v>8</v>
      </c>
      <c r="L32" s="31">
        <v>6</v>
      </c>
      <c r="M32" s="31">
        <v>9</v>
      </c>
      <c r="N32" s="31">
        <v>5</v>
      </c>
      <c r="O32" s="31">
        <v>6</v>
      </c>
      <c r="P32" s="31">
        <v>8</v>
      </c>
      <c r="Q32" s="31">
        <v>0</v>
      </c>
      <c r="R32" s="31">
        <v>0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</row>
    <row r="33" spans="1:34" ht="16.5" customHeight="1" x14ac:dyDescent="0.3">
      <c r="A33" s="22">
        <v>46049</v>
      </c>
      <c r="B33" s="23" t="s">
        <v>66</v>
      </c>
      <c r="C33" s="24" t="s">
        <v>61</v>
      </c>
      <c r="D33" s="25">
        <v>8</v>
      </c>
      <c r="E33" s="26">
        <v>7</v>
      </c>
      <c r="F33" s="26">
        <v>8</v>
      </c>
      <c r="G33" s="26">
        <v>8</v>
      </c>
      <c r="H33" s="26">
        <v>6</v>
      </c>
      <c r="I33" s="26">
        <v>9</v>
      </c>
      <c r="J33" s="26">
        <v>5</v>
      </c>
      <c r="K33" s="26">
        <v>8</v>
      </c>
      <c r="L33" s="26">
        <v>6</v>
      </c>
      <c r="M33" s="26">
        <v>9</v>
      </c>
      <c r="N33" s="26">
        <v>5</v>
      </c>
      <c r="O33" s="26">
        <v>6</v>
      </c>
      <c r="P33" s="26">
        <v>8</v>
      </c>
      <c r="Q33" s="26">
        <v>0</v>
      </c>
      <c r="R33" s="26">
        <v>0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ht="16.5" customHeight="1" x14ac:dyDescent="0.3">
      <c r="A34" s="27">
        <v>46050</v>
      </c>
      <c r="B34" s="28" t="s">
        <v>67</v>
      </c>
      <c r="C34" s="29" t="s">
        <v>61</v>
      </c>
      <c r="D34" s="30">
        <v>8</v>
      </c>
      <c r="E34" s="31">
        <v>7</v>
      </c>
      <c r="F34" s="31">
        <v>7.3</v>
      </c>
      <c r="G34" s="31">
        <v>8</v>
      </c>
      <c r="H34" s="31">
        <v>6</v>
      </c>
      <c r="I34" s="31">
        <v>9</v>
      </c>
      <c r="J34" s="31">
        <v>5</v>
      </c>
      <c r="K34" s="31">
        <v>8</v>
      </c>
      <c r="L34" s="31">
        <v>6</v>
      </c>
      <c r="M34" s="31">
        <v>9</v>
      </c>
      <c r="N34" s="31">
        <v>5</v>
      </c>
      <c r="O34" s="31">
        <v>6</v>
      </c>
      <c r="P34" s="31">
        <v>8</v>
      </c>
      <c r="Q34" s="31">
        <v>0</v>
      </c>
      <c r="R34" s="31">
        <v>0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</row>
    <row r="35" spans="1:34" ht="16.5" customHeight="1" x14ac:dyDescent="0.3">
      <c r="A35" s="22">
        <v>46051</v>
      </c>
      <c r="B35" s="23" t="s">
        <v>60</v>
      </c>
      <c r="C35" s="24" t="s">
        <v>61</v>
      </c>
      <c r="D35" s="25">
        <v>8</v>
      </c>
      <c r="E35" s="26">
        <v>7</v>
      </c>
      <c r="F35" s="26">
        <v>7.55</v>
      </c>
      <c r="G35" s="26">
        <v>8</v>
      </c>
      <c r="H35" s="26">
        <v>6</v>
      </c>
      <c r="I35" s="26">
        <v>9</v>
      </c>
      <c r="J35" s="26">
        <v>5</v>
      </c>
      <c r="K35" s="26">
        <v>8</v>
      </c>
      <c r="L35" s="26">
        <v>6</v>
      </c>
      <c r="M35" s="26">
        <v>9</v>
      </c>
      <c r="N35" s="26">
        <v>5</v>
      </c>
      <c r="O35" s="26">
        <v>6</v>
      </c>
      <c r="P35" s="26">
        <v>8</v>
      </c>
      <c r="Q35" s="26">
        <v>0</v>
      </c>
      <c r="R35" s="26">
        <v>0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ht="16.5" customHeight="1" x14ac:dyDescent="0.3">
      <c r="A36" s="27">
        <v>46052</v>
      </c>
      <c r="B36" s="28" t="s">
        <v>62</v>
      </c>
      <c r="C36" s="29" t="s">
        <v>61</v>
      </c>
      <c r="D36" s="30">
        <v>8</v>
      </c>
      <c r="E36" s="31">
        <v>7</v>
      </c>
      <c r="F36" s="31">
        <v>8</v>
      </c>
      <c r="G36" s="31">
        <v>8</v>
      </c>
      <c r="H36" s="31">
        <v>6</v>
      </c>
      <c r="I36" s="31">
        <v>9</v>
      </c>
      <c r="J36" s="31">
        <v>5</v>
      </c>
      <c r="K36" s="31">
        <v>8</v>
      </c>
      <c r="L36" s="31">
        <v>6</v>
      </c>
      <c r="M36" s="31">
        <v>9</v>
      </c>
      <c r="N36" s="31">
        <v>5</v>
      </c>
      <c r="O36" s="31">
        <v>6</v>
      </c>
      <c r="P36" s="31">
        <v>8</v>
      </c>
      <c r="Q36" s="31">
        <v>0</v>
      </c>
      <c r="R36" s="31">
        <v>0</v>
      </c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</row>
    <row r="37" spans="1:34" ht="16.5" customHeight="1" x14ac:dyDescent="0.3">
      <c r="A37" s="22">
        <v>46053</v>
      </c>
      <c r="B37" s="23" t="s">
        <v>63</v>
      </c>
      <c r="C37" s="24" t="s">
        <v>61</v>
      </c>
      <c r="D37" s="25">
        <v>8</v>
      </c>
      <c r="E37" s="26">
        <v>7</v>
      </c>
      <c r="F37" s="26">
        <v>8</v>
      </c>
      <c r="G37" s="26">
        <v>8</v>
      </c>
      <c r="H37" s="26">
        <v>6</v>
      </c>
      <c r="I37" s="26">
        <v>9</v>
      </c>
      <c r="J37" s="26">
        <v>5</v>
      </c>
      <c r="K37" s="26">
        <v>8</v>
      </c>
      <c r="L37" s="26">
        <v>6</v>
      </c>
      <c r="M37" s="26">
        <v>9</v>
      </c>
      <c r="N37" s="26">
        <v>5</v>
      </c>
      <c r="O37" s="26">
        <v>6</v>
      </c>
      <c r="P37" s="26">
        <v>8</v>
      </c>
      <c r="Q37" s="26">
        <v>0</v>
      </c>
      <c r="R37" s="26">
        <v>0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9" spans="1:34" ht="21.75" customHeight="1" x14ac:dyDescent="0.3">
      <c r="A39" s="60" t="s">
        <v>68</v>
      </c>
      <c r="B39" s="60"/>
      <c r="C39" s="60"/>
      <c r="D39" s="60"/>
      <c r="E39" s="36">
        <f>IF(Setup!B15&lt;&gt;"",SUM(E7:E37),"")</f>
        <v>189.3</v>
      </c>
      <c r="F39" s="36">
        <f>IF(Setup!B16&lt;&gt;"",SUM(F7:F37),"")</f>
        <v>214.95000000000002</v>
      </c>
      <c r="G39" s="36">
        <f>IF(Setup!B17&lt;&gt;"",SUM(G7:G37),"")</f>
        <v>213.3</v>
      </c>
      <c r="H39" s="36">
        <f>IF(Setup!B18&lt;&gt;"",SUM(H7:H37),"")</f>
        <v>162.30000000000001</v>
      </c>
      <c r="I39" s="36">
        <f>IF(Setup!B19&lt;&gt;"",SUM(I7:I37),"")</f>
        <v>243</v>
      </c>
      <c r="J39" s="36">
        <f>IF(Setup!B20&lt;&gt;"",SUM(J7:J37),"")</f>
        <v>135</v>
      </c>
      <c r="K39" s="36">
        <f>IF(Setup!B21&lt;&gt;"",SUM(K7:K37),"")</f>
        <v>215.45</v>
      </c>
      <c r="L39" s="36">
        <f>IF(Setup!B22&lt;&gt;"",SUM(L7:L37),"")</f>
        <v>162</v>
      </c>
      <c r="M39" s="36">
        <f>IF(Setup!B23&lt;&gt;"",SUM(M7:M37),"")</f>
        <v>243</v>
      </c>
      <c r="N39" s="36">
        <f>IF(Setup!B24&lt;&gt;"",SUM(N7:N37),"")</f>
        <v>135</v>
      </c>
      <c r="O39" s="36">
        <f>IF(Setup!B25&lt;&gt;"",SUM(O7:O37),"")</f>
        <v>162.9</v>
      </c>
      <c r="P39" s="36">
        <f>IF(Setup!B26&lt;&gt;"",SUM(P7:P37),"")</f>
        <v>216.5</v>
      </c>
      <c r="Q39" s="36">
        <f>IF(Setup!B27&lt;&gt;"",SUM(Q7:Q37),"")</f>
        <v>0</v>
      </c>
      <c r="R39" s="36">
        <f>IF(Setup!B28&lt;&gt;"",SUM(R7:R37),"")</f>
        <v>0</v>
      </c>
      <c r="S39" s="36" t="str">
        <f>IF(Setup!B29&lt;&gt;"",SUM(S7:S37),"")</f>
        <v/>
      </c>
      <c r="T39" s="36" t="str">
        <f>IF(Setup!B30&lt;&gt;"",SUM(T7:T37),"")</f>
        <v/>
      </c>
      <c r="U39" s="36" t="str">
        <f>IF(Setup!B31&lt;&gt;"",SUM(U7:U37),"")</f>
        <v/>
      </c>
      <c r="V39" s="36" t="str">
        <f>IF(Setup!B32&lt;&gt;"",SUM(V7:V37),"")</f>
        <v/>
      </c>
      <c r="W39" s="36" t="str">
        <f>IF(Setup!B33&lt;&gt;"",SUM(W7:W37),"")</f>
        <v/>
      </c>
      <c r="X39" s="36" t="str">
        <f>IF(Setup!B34&lt;&gt;"",SUM(X7:X37),"")</f>
        <v/>
      </c>
      <c r="Y39" s="36" t="str">
        <f>IF(Setup!B35&lt;&gt;"",SUM(Y7:Y37),"")</f>
        <v/>
      </c>
      <c r="Z39" s="36" t="str">
        <f>IF(Setup!B36&lt;&gt;"",SUM(Z7:Z37),"")</f>
        <v/>
      </c>
      <c r="AA39" s="36" t="str">
        <f>IF(Setup!B37&lt;&gt;"",SUM(AA7:AA37),"")</f>
        <v/>
      </c>
      <c r="AB39" s="36" t="str">
        <f>IF(Setup!B38&lt;&gt;"",SUM(AB7:AB37),"")</f>
        <v/>
      </c>
      <c r="AC39" s="36" t="str">
        <f>IF(Setup!B39&lt;&gt;"",SUM(AC7:AC37),"")</f>
        <v/>
      </c>
      <c r="AD39" s="36" t="str">
        <f>IF(Setup!B40&lt;&gt;"",SUM(AD7:AD37),"")</f>
        <v/>
      </c>
      <c r="AE39" s="36" t="str">
        <f>IF(Setup!B41&lt;&gt;"",SUM(AE7:AE37),"")</f>
        <v/>
      </c>
      <c r="AF39" s="36" t="str">
        <f>IF(Setup!B42&lt;&gt;"",SUM(AF7:AF37),"")</f>
        <v/>
      </c>
      <c r="AG39" s="36" t="str">
        <f>IF(Setup!B43&lt;&gt;"",SUM(AG7:AG37),"")</f>
        <v/>
      </c>
      <c r="AH39" s="36" t="str">
        <f>IF(Setup!B44&lt;&gt;"",SUM(AH7:AH37),"")</f>
        <v/>
      </c>
    </row>
    <row r="40" spans="1:34" ht="19.5" customHeight="1" x14ac:dyDescent="0.3">
      <c r="A40" s="61" t="s">
        <v>69</v>
      </c>
      <c r="B40" s="61"/>
      <c r="C40" s="61"/>
      <c r="D40" s="61"/>
      <c r="E40" s="37">
        <f>IF(Setup!B15&lt;&gt;"",COUNTIFS(C7:C37,"WORK",E7:E37,0),"")</f>
        <v>0</v>
      </c>
      <c r="F40" s="37">
        <f>IF(Setup!B16&lt;&gt;"",COUNTIFS(C7:C37,"WORK",F7:F37,0),"")</f>
        <v>0</v>
      </c>
      <c r="G40" s="37">
        <f>IF(Setup!B17&lt;&gt;"",COUNTIFS(C7:C37,"WORK",G7:G37,0),"")</f>
        <v>0</v>
      </c>
      <c r="H40" s="37">
        <f>IF(Setup!B18&lt;&gt;"",COUNTIFS(C7:C37,"WORK",H7:H37,0),"")</f>
        <v>0</v>
      </c>
      <c r="I40" s="37">
        <f>IF(Setup!B19&lt;&gt;"",COUNTIFS(C7:C37,"WORK",I7:I37,0),"")</f>
        <v>0</v>
      </c>
      <c r="J40" s="37">
        <f>IF(Setup!B20&lt;&gt;"",COUNTIFS(C7:C37,"WORK",J7:J37,0),"")</f>
        <v>0</v>
      </c>
      <c r="K40" s="37">
        <f>IF(Setup!B21&lt;&gt;"",COUNTIFS(C7:C37,"WORK",K7:K37,0),"")</f>
        <v>0</v>
      </c>
      <c r="L40" s="37">
        <f>IF(Setup!B22&lt;&gt;"",COUNTIFS(C7:C37,"WORK",L7:L37,0),"")</f>
        <v>0</v>
      </c>
      <c r="M40" s="37">
        <f>IF(Setup!B23&lt;&gt;"",COUNTIFS(C7:C37,"WORK",M7:M37,0),"")</f>
        <v>0</v>
      </c>
      <c r="N40" s="37">
        <f>IF(Setup!B24&lt;&gt;"",COUNTIFS(C7:C37,"WORK",N7:N37,0),"")</f>
        <v>0</v>
      </c>
      <c r="O40" s="37">
        <f>IF(Setup!B25&lt;&gt;"",COUNTIFS(C7:C37,"WORK",O7:O37,0),"")</f>
        <v>0</v>
      </c>
      <c r="P40" s="37">
        <f>IF(Setup!B26&lt;&gt;"",COUNTIFS(C7:C37,"WORK",P7:P37,0),"")</f>
        <v>0</v>
      </c>
      <c r="Q40" s="37">
        <f>IF(Setup!B27&lt;&gt;"",COUNTIFS(C7:C37,"WORK",Q7:Q37,0),"")</f>
        <v>27</v>
      </c>
      <c r="R40" s="37">
        <f>IF(Setup!B28&lt;&gt;"",COUNTIFS(C7:C37,"WORK",R7:R37,0),"")</f>
        <v>27</v>
      </c>
      <c r="S40" s="37" t="str">
        <f>IF(Setup!B29&lt;&gt;"",COUNTIFS(C7:C37,"WORK",S7:S37,0),"")</f>
        <v/>
      </c>
      <c r="T40" s="37" t="str">
        <f>IF(Setup!B30&lt;&gt;"",COUNTIFS(C7:C37,"WORK",T7:T37,0),"")</f>
        <v/>
      </c>
      <c r="U40" s="37" t="str">
        <f>IF(Setup!B31&lt;&gt;"",COUNTIFS(C7:C37,"WORK",U7:U37,0),"")</f>
        <v/>
      </c>
      <c r="V40" s="37" t="str">
        <f>IF(Setup!B32&lt;&gt;"",COUNTIFS(C7:C37,"WORK",V7:V37,0),"")</f>
        <v/>
      </c>
      <c r="W40" s="37" t="str">
        <f>IF(Setup!B33&lt;&gt;"",COUNTIFS(C7:C37,"WORK",W7:W37,0),"")</f>
        <v/>
      </c>
      <c r="X40" s="37" t="str">
        <f>IF(Setup!B34&lt;&gt;"",COUNTIFS(C7:C37,"WORK",X7:X37,0),"")</f>
        <v/>
      </c>
      <c r="Y40" s="37" t="str">
        <f>IF(Setup!B35&lt;&gt;"",COUNTIFS(C7:C37,"WORK",Y7:Y37,0),"")</f>
        <v/>
      </c>
      <c r="Z40" s="37" t="str">
        <f>IF(Setup!B36&lt;&gt;"",COUNTIFS(C7:C37,"WORK",Z7:Z37,0),"")</f>
        <v/>
      </c>
      <c r="AA40" s="37" t="str">
        <f>IF(Setup!B37&lt;&gt;"",COUNTIFS(C7:C37,"WORK",AA7:AA37,0),"")</f>
        <v/>
      </c>
      <c r="AB40" s="37" t="str">
        <f>IF(Setup!B38&lt;&gt;"",COUNTIFS(C7:C37,"WORK",AB7:AB37,0),"")</f>
        <v/>
      </c>
      <c r="AC40" s="37" t="str">
        <f>IF(Setup!B39&lt;&gt;"",COUNTIFS(C7:C37,"WORK",AC7:AC37,0),"")</f>
        <v/>
      </c>
      <c r="AD40" s="37" t="str">
        <f>IF(Setup!B40&lt;&gt;"",COUNTIFS(C7:C37,"WORK",AD7:AD37,0),"")</f>
        <v/>
      </c>
      <c r="AE40" s="37" t="str">
        <f>IF(Setup!B41&lt;&gt;"",COUNTIFS(C7:C37,"WORK",AE7:AE37,0),"")</f>
        <v/>
      </c>
      <c r="AF40" s="37" t="str">
        <f>IF(Setup!B42&lt;&gt;"",COUNTIFS(C7:C37,"WORK",AF7:AF37,0),"")</f>
        <v/>
      </c>
      <c r="AG40" s="37" t="str">
        <f>IF(Setup!B43&lt;&gt;"",COUNTIFS(C7:C37,"WORK",AG7:AG37,0),"")</f>
        <v/>
      </c>
      <c r="AH40" s="37" t="str">
        <f>IF(Setup!B44&lt;&gt;"",COUNTIFS(C7:C37,"WORK",AH7:AH37,0),"")</f>
        <v/>
      </c>
    </row>
  </sheetData>
  <mergeCells count="3">
    <mergeCell ref="A1:AH1"/>
    <mergeCell ref="A39:D39"/>
    <mergeCell ref="A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H37"/>
  <sheetViews>
    <sheetView showGridLines="0" zoomScaleNormal="100" workbookViewId="0">
      <pane xSplit="4" ySplit="6" topLeftCell="E28" activePane="bottomRight" state="frozen"/>
      <selection pane="topRight" activeCell="E1" sqref="E1"/>
      <selection pane="bottomLeft" activeCell="A7" sqref="A7"/>
      <selection pane="bottomRight" activeCell="S12" sqref="S12"/>
    </sheetView>
  </sheetViews>
  <sheetFormatPr defaultColWidth="8.5546875" defaultRowHeight="14.4" x14ac:dyDescent="0.3"/>
  <cols>
    <col min="1" max="1" width="13" customWidth="1"/>
    <col min="2" max="2" width="5" customWidth="1"/>
    <col min="3" max="3" width="7" customWidth="1"/>
    <col min="4" max="4" width="9" customWidth="1"/>
    <col min="5" max="34" width="10" customWidth="1"/>
  </cols>
  <sheetData>
    <row r="1" spans="1:34" ht="31.5" customHeight="1" x14ac:dyDescent="0.3">
      <c r="A1" s="54" t="s">
        <v>70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 ht="19.5" customHeight="1" x14ac:dyDescent="0.3">
      <c r="A2" s="1" t="s">
        <v>53</v>
      </c>
      <c r="B2" s="10" t="s">
        <v>71</v>
      </c>
    </row>
    <row r="3" spans="1:34" ht="19.5" customHeight="1" x14ac:dyDescent="0.3">
      <c r="A3" s="1" t="s">
        <v>55</v>
      </c>
      <c r="B3" s="2">
        <f>Setup!B8</f>
        <v>8</v>
      </c>
    </row>
    <row r="4" spans="1:34" ht="19.5" customHeight="1" x14ac:dyDescent="0.3">
      <c r="A4" s="1" t="s">
        <v>56</v>
      </c>
      <c r="B4" s="10">
        <v>192</v>
      </c>
    </row>
    <row r="6" spans="1:34" ht="31.5" customHeight="1" x14ac:dyDescent="0.3">
      <c r="A6" s="20" t="s">
        <v>4</v>
      </c>
      <c r="B6" s="20" t="s">
        <v>57</v>
      </c>
      <c r="C6" s="20" t="s">
        <v>58</v>
      </c>
      <c r="D6" s="20" t="s">
        <v>59</v>
      </c>
      <c r="E6" s="21" t="str">
        <f>Setup!B15</f>
        <v>Sheraz</v>
      </c>
      <c r="F6" s="21" t="str">
        <f>Setup!B16</f>
        <v>Zain</v>
      </c>
      <c r="G6" s="21" t="str">
        <f>Setup!B17</f>
        <v>Yousaf</v>
      </c>
      <c r="H6" s="21" t="str">
        <f>Setup!B18</f>
        <v>Hamza</v>
      </c>
      <c r="I6" s="21" t="str">
        <f>Setup!B19</f>
        <v>Amjad</v>
      </c>
      <c r="J6" s="21" t="str">
        <f>Setup!B20</f>
        <v>Tanveer</v>
      </c>
      <c r="K6" s="21" t="str">
        <f>Setup!B21</f>
        <v>Ali Zaman</v>
      </c>
      <c r="L6" s="21" t="str">
        <f>Setup!B22</f>
        <v>Awais Ali</v>
      </c>
      <c r="M6" s="21" t="str">
        <f>Setup!B23</f>
        <v>Ishtiaq</v>
      </c>
      <c r="N6" s="21" t="str">
        <f>Setup!B24</f>
        <v>Usama bhai</v>
      </c>
      <c r="O6" s="21" t="str">
        <f>Setup!B25</f>
        <v>Ahtisham</v>
      </c>
      <c r="P6" s="21" t="str">
        <f>Setup!B26</f>
        <v>Factory rent</v>
      </c>
      <c r="Q6" s="21" t="str">
        <f>Setup!B27</f>
        <v>Internet bill</v>
      </c>
      <c r="R6" s="21" t="str">
        <f>Setup!B28</f>
        <v>Saqab</v>
      </c>
      <c r="S6" s="21">
        <f>Setup!B29</f>
        <v>0</v>
      </c>
      <c r="T6" s="21">
        <f>Setup!B30</f>
        <v>0</v>
      </c>
      <c r="U6" s="21">
        <f>Setup!B31</f>
        <v>0</v>
      </c>
      <c r="V6" s="21">
        <f>Setup!B32</f>
        <v>0</v>
      </c>
      <c r="W6" s="21">
        <f>Setup!B33</f>
        <v>0</v>
      </c>
      <c r="X6" s="21">
        <f>Setup!B34</f>
        <v>0</v>
      </c>
      <c r="Y6" s="21">
        <f>Setup!B35</f>
        <v>0</v>
      </c>
      <c r="Z6" s="21">
        <f>Setup!B36</f>
        <v>0</v>
      </c>
      <c r="AA6" s="21">
        <f>Setup!B37</f>
        <v>0</v>
      </c>
      <c r="AB6" s="21">
        <f>Setup!B38</f>
        <v>0</v>
      </c>
      <c r="AC6" s="21">
        <f>Setup!B39</f>
        <v>0</v>
      </c>
      <c r="AD6" s="21">
        <f>Setup!B40</f>
        <v>0</v>
      </c>
      <c r="AE6" s="21">
        <f>Setup!B41</f>
        <v>0</v>
      </c>
      <c r="AF6" s="21">
        <f>Setup!B42</f>
        <v>0</v>
      </c>
      <c r="AG6" s="21">
        <f>Setup!B43</f>
        <v>0</v>
      </c>
      <c r="AH6" s="21">
        <f>Setup!B44</f>
        <v>0</v>
      </c>
    </row>
    <row r="7" spans="1:34" ht="16.5" customHeight="1" x14ac:dyDescent="0.3">
      <c r="A7" s="32">
        <v>46054</v>
      </c>
      <c r="B7" s="33" t="s">
        <v>64</v>
      </c>
      <c r="C7" s="33" t="s">
        <v>64</v>
      </c>
      <c r="D7" s="34">
        <v>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</row>
    <row r="8" spans="1:34" ht="16.5" customHeight="1" x14ac:dyDescent="0.3">
      <c r="A8" s="27">
        <v>46055</v>
      </c>
      <c r="B8" s="28" t="s">
        <v>65</v>
      </c>
      <c r="C8" s="29" t="s">
        <v>61</v>
      </c>
      <c r="D8" s="30">
        <v>8</v>
      </c>
      <c r="E8" s="31">
        <v>8</v>
      </c>
      <c r="F8" s="31">
        <v>8</v>
      </c>
      <c r="G8" s="31">
        <v>8</v>
      </c>
      <c r="H8" s="31">
        <v>8</v>
      </c>
      <c r="I8" s="31">
        <v>8</v>
      </c>
      <c r="J8" s="31" t="s">
        <v>140</v>
      </c>
      <c r="K8" s="31">
        <v>8</v>
      </c>
      <c r="L8" s="31">
        <v>8</v>
      </c>
      <c r="M8" s="31">
        <v>8</v>
      </c>
      <c r="N8" s="31">
        <v>8</v>
      </c>
      <c r="O8" s="31">
        <v>8</v>
      </c>
      <c r="P8" s="31">
        <v>8</v>
      </c>
      <c r="Q8" s="31">
        <v>8</v>
      </c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16.5" customHeight="1" x14ac:dyDescent="0.3">
      <c r="A9" s="22">
        <v>46056</v>
      </c>
      <c r="B9" s="23" t="s">
        <v>66</v>
      </c>
      <c r="C9" s="24" t="s">
        <v>61</v>
      </c>
      <c r="D9" s="25">
        <v>8</v>
      </c>
      <c r="E9" s="26">
        <v>8</v>
      </c>
      <c r="F9" s="26">
        <v>8</v>
      </c>
      <c r="G9" s="26">
        <v>8</v>
      </c>
      <c r="H9" s="26">
        <v>7.55</v>
      </c>
      <c r="I9" s="26">
        <v>8</v>
      </c>
      <c r="J9" s="26">
        <v>8</v>
      </c>
      <c r="K9" s="26">
        <v>8</v>
      </c>
      <c r="L9" s="26">
        <v>8</v>
      </c>
      <c r="M9" s="26">
        <v>7.5</v>
      </c>
      <c r="N9" s="26">
        <v>8</v>
      </c>
      <c r="O9" s="26">
        <v>8</v>
      </c>
      <c r="P9" s="26">
        <v>8</v>
      </c>
      <c r="Q9" s="26">
        <v>8</v>
      </c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 ht="16.5" customHeight="1" x14ac:dyDescent="0.3">
      <c r="A10" s="27">
        <v>46057</v>
      </c>
      <c r="B10" s="28" t="s">
        <v>67</v>
      </c>
      <c r="C10" s="29" t="s">
        <v>61</v>
      </c>
      <c r="D10" s="30">
        <v>8</v>
      </c>
      <c r="E10" s="31">
        <v>8</v>
      </c>
      <c r="F10" s="31">
        <v>7.53</v>
      </c>
      <c r="G10" s="31">
        <v>7.53</v>
      </c>
      <c r="H10" s="31">
        <v>7.4</v>
      </c>
      <c r="I10" s="31">
        <v>7.53</v>
      </c>
      <c r="J10" s="31">
        <v>8</v>
      </c>
      <c r="K10" s="31">
        <v>8</v>
      </c>
      <c r="L10" s="31">
        <v>7.53</v>
      </c>
      <c r="M10" s="31">
        <v>7.53</v>
      </c>
      <c r="N10" s="31">
        <v>8</v>
      </c>
      <c r="O10" s="31">
        <v>8</v>
      </c>
      <c r="P10" s="31">
        <v>8</v>
      </c>
      <c r="Q10" s="31">
        <v>8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ht="16.5" customHeight="1" x14ac:dyDescent="0.3">
      <c r="A11" s="22">
        <v>46058</v>
      </c>
      <c r="B11" s="23" t="s">
        <v>60</v>
      </c>
      <c r="C11" s="24" t="s">
        <v>61</v>
      </c>
      <c r="D11" s="25">
        <v>8</v>
      </c>
      <c r="E11" s="26" t="s">
        <v>140</v>
      </c>
      <c r="F11" s="26">
        <v>8</v>
      </c>
      <c r="G11" s="26">
        <v>8</v>
      </c>
      <c r="H11" s="26">
        <v>8</v>
      </c>
      <c r="I11" s="26">
        <v>4.45</v>
      </c>
      <c r="J11" s="26">
        <v>8</v>
      </c>
      <c r="K11" s="26">
        <v>8</v>
      </c>
      <c r="L11" s="26">
        <v>8</v>
      </c>
      <c r="M11" s="26">
        <v>8</v>
      </c>
      <c r="N11" s="26">
        <v>8</v>
      </c>
      <c r="O11" s="26">
        <v>8</v>
      </c>
      <c r="P11" s="26">
        <v>8</v>
      </c>
      <c r="Q11" s="26">
        <v>8</v>
      </c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ht="16.5" customHeight="1" x14ac:dyDescent="0.3">
      <c r="A12" s="27">
        <v>46059</v>
      </c>
      <c r="B12" s="28" t="s">
        <v>62</v>
      </c>
      <c r="C12" s="29" t="s">
        <v>61</v>
      </c>
      <c r="D12" s="30">
        <v>8</v>
      </c>
      <c r="E12" s="31" t="s">
        <v>140</v>
      </c>
      <c r="F12" s="31">
        <v>7.52</v>
      </c>
      <c r="G12" s="31">
        <v>7.52</v>
      </c>
      <c r="H12" s="31">
        <v>8</v>
      </c>
      <c r="I12" s="31" t="s">
        <v>140</v>
      </c>
      <c r="J12" s="31">
        <v>8</v>
      </c>
      <c r="K12" s="31">
        <v>8</v>
      </c>
      <c r="L12" s="31">
        <v>8</v>
      </c>
      <c r="M12" s="31" t="s">
        <v>140</v>
      </c>
      <c r="N12" s="31">
        <v>8</v>
      </c>
      <c r="O12" s="31">
        <v>8</v>
      </c>
      <c r="P12" s="31">
        <v>8</v>
      </c>
      <c r="Q12" s="31">
        <v>8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4" ht="16.5" customHeight="1" x14ac:dyDescent="0.3">
      <c r="A13" s="22">
        <v>46060</v>
      </c>
      <c r="B13" s="23" t="s">
        <v>63</v>
      </c>
      <c r="C13" s="24" t="s">
        <v>61</v>
      </c>
      <c r="D13" s="25">
        <v>8</v>
      </c>
      <c r="E13" s="26">
        <v>8</v>
      </c>
      <c r="F13" s="26">
        <v>8</v>
      </c>
      <c r="G13" s="26">
        <v>8</v>
      </c>
      <c r="H13" s="26">
        <v>8</v>
      </c>
      <c r="I13" s="26">
        <v>8</v>
      </c>
      <c r="J13" s="26">
        <v>8</v>
      </c>
      <c r="K13" s="26">
        <v>8</v>
      </c>
      <c r="L13" s="26">
        <v>8</v>
      </c>
      <c r="M13" s="26">
        <v>8</v>
      </c>
      <c r="N13" s="26">
        <v>8</v>
      </c>
      <c r="O13" s="26">
        <v>8</v>
      </c>
      <c r="P13" s="26">
        <v>8</v>
      </c>
      <c r="Q13" s="26">
        <v>8</v>
      </c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ht="16.5" customHeight="1" x14ac:dyDescent="0.3">
      <c r="A14" s="32">
        <v>46061</v>
      </c>
      <c r="B14" s="33" t="s">
        <v>64</v>
      </c>
      <c r="C14" s="33" t="s">
        <v>64</v>
      </c>
      <c r="D14" s="34">
        <v>0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</row>
    <row r="15" spans="1:34" ht="16.5" customHeight="1" x14ac:dyDescent="0.3">
      <c r="A15" s="22">
        <v>46062</v>
      </c>
      <c r="B15" s="23" t="s">
        <v>65</v>
      </c>
      <c r="C15" s="24" t="s">
        <v>61</v>
      </c>
      <c r="D15" s="25">
        <v>8</v>
      </c>
      <c r="E15" s="26">
        <v>8</v>
      </c>
      <c r="F15" s="26">
        <v>7.5</v>
      </c>
      <c r="G15" s="26">
        <v>7.5</v>
      </c>
      <c r="H15" s="26">
        <v>8</v>
      </c>
      <c r="I15" s="26">
        <v>7.5</v>
      </c>
      <c r="J15" s="26">
        <v>8</v>
      </c>
      <c r="K15" s="26">
        <v>8</v>
      </c>
      <c r="L15" s="26">
        <v>8</v>
      </c>
      <c r="M15" s="26">
        <v>7.45</v>
      </c>
      <c r="N15" s="26">
        <v>8</v>
      </c>
      <c r="O15" s="26">
        <v>8</v>
      </c>
      <c r="P15" s="26">
        <v>8</v>
      </c>
      <c r="Q15" s="26">
        <v>8</v>
      </c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16.5" customHeight="1" x14ac:dyDescent="0.3">
      <c r="A16" s="27">
        <v>46063</v>
      </c>
      <c r="B16" s="28" t="s">
        <v>66</v>
      </c>
      <c r="C16" s="29" t="s">
        <v>61</v>
      </c>
      <c r="D16" s="30">
        <v>8</v>
      </c>
      <c r="E16" s="31">
        <v>8</v>
      </c>
      <c r="F16" s="31">
        <v>8</v>
      </c>
      <c r="G16" s="31">
        <v>8</v>
      </c>
      <c r="H16" s="31">
        <v>8</v>
      </c>
      <c r="I16" s="31">
        <v>7.5</v>
      </c>
      <c r="J16" s="31">
        <v>8</v>
      </c>
      <c r="K16" s="31">
        <v>8</v>
      </c>
      <c r="L16" s="31">
        <v>8</v>
      </c>
      <c r="M16" s="31">
        <v>8</v>
      </c>
      <c r="N16" s="31">
        <v>8</v>
      </c>
      <c r="O16" s="31">
        <v>8</v>
      </c>
      <c r="P16" s="31">
        <v>8</v>
      </c>
      <c r="Q16" s="31">
        <v>8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</row>
    <row r="17" spans="1:34" ht="16.5" customHeight="1" x14ac:dyDescent="0.3">
      <c r="A17" s="22">
        <v>46064</v>
      </c>
      <c r="B17" s="23" t="s">
        <v>67</v>
      </c>
      <c r="C17" s="24" t="s">
        <v>61</v>
      </c>
      <c r="D17" s="25">
        <v>8</v>
      </c>
      <c r="E17" s="26">
        <v>7.5</v>
      </c>
      <c r="F17" s="26">
        <v>8</v>
      </c>
      <c r="G17" s="26">
        <v>8</v>
      </c>
      <c r="H17" s="26">
        <v>7.55</v>
      </c>
      <c r="I17" s="26">
        <v>7.5</v>
      </c>
      <c r="J17" s="26">
        <v>8</v>
      </c>
      <c r="K17" s="26">
        <v>8</v>
      </c>
      <c r="L17" s="26">
        <v>7.55</v>
      </c>
      <c r="M17" s="26">
        <v>8</v>
      </c>
      <c r="N17" s="26">
        <v>8</v>
      </c>
      <c r="O17" s="26">
        <v>8</v>
      </c>
      <c r="P17" s="26">
        <v>8</v>
      </c>
      <c r="Q17" s="26">
        <v>8</v>
      </c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16.5" customHeight="1" x14ac:dyDescent="0.3">
      <c r="A18" s="27">
        <v>46065</v>
      </c>
      <c r="B18" s="28" t="s">
        <v>60</v>
      </c>
      <c r="C18" s="29" t="s">
        <v>61</v>
      </c>
      <c r="D18" s="30">
        <v>8</v>
      </c>
      <c r="E18" s="31">
        <v>8</v>
      </c>
      <c r="F18" s="31">
        <v>8</v>
      </c>
      <c r="G18" s="31">
        <v>8</v>
      </c>
      <c r="H18" s="31">
        <v>7.4</v>
      </c>
      <c r="I18" s="31">
        <v>7.55</v>
      </c>
      <c r="J18" s="31">
        <v>8</v>
      </c>
      <c r="K18" s="31">
        <v>8</v>
      </c>
      <c r="L18" s="31">
        <v>7.55</v>
      </c>
      <c r="M18" s="31">
        <v>8</v>
      </c>
      <c r="N18" s="31">
        <v>8</v>
      </c>
      <c r="O18" s="31">
        <v>8</v>
      </c>
      <c r="P18" s="31">
        <v>8</v>
      </c>
      <c r="Q18" s="31">
        <v>8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</row>
    <row r="19" spans="1:34" ht="16.5" customHeight="1" x14ac:dyDescent="0.3">
      <c r="A19" s="22">
        <v>46066</v>
      </c>
      <c r="B19" s="23" t="s">
        <v>62</v>
      </c>
      <c r="C19" s="24" t="s">
        <v>61</v>
      </c>
      <c r="D19" s="25">
        <v>8</v>
      </c>
      <c r="E19" s="26">
        <v>8</v>
      </c>
      <c r="F19" s="26">
        <v>8</v>
      </c>
      <c r="G19" s="26" t="s">
        <v>140</v>
      </c>
      <c r="H19" s="26">
        <v>7.5</v>
      </c>
      <c r="I19" s="26" t="s">
        <v>140</v>
      </c>
      <c r="J19" s="26">
        <v>8</v>
      </c>
      <c r="K19" s="26">
        <v>8</v>
      </c>
      <c r="L19" s="26">
        <v>7.5</v>
      </c>
      <c r="M19" s="26">
        <v>7.45</v>
      </c>
      <c r="N19" s="26">
        <v>8</v>
      </c>
      <c r="O19" s="26">
        <v>8</v>
      </c>
      <c r="P19" s="26">
        <v>8</v>
      </c>
      <c r="Q19" s="26">
        <v>8</v>
      </c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16.5" customHeight="1" x14ac:dyDescent="0.3">
      <c r="A20" s="27">
        <v>46067</v>
      </c>
      <c r="B20" s="28" t="s">
        <v>63</v>
      </c>
      <c r="C20" s="29" t="s">
        <v>61</v>
      </c>
      <c r="D20" s="30">
        <v>8</v>
      </c>
      <c r="E20" s="31">
        <v>8</v>
      </c>
      <c r="F20" s="31">
        <v>8</v>
      </c>
      <c r="G20" s="31">
        <v>8</v>
      </c>
      <c r="H20" s="31">
        <v>7.5</v>
      </c>
      <c r="I20" s="31">
        <v>8</v>
      </c>
      <c r="J20" s="31" t="s">
        <v>140</v>
      </c>
      <c r="K20" s="31">
        <v>8</v>
      </c>
      <c r="L20" s="31">
        <v>8</v>
      </c>
      <c r="M20" s="31">
        <v>8</v>
      </c>
      <c r="N20" s="31">
        <v>8</v>
      </c>
      <c r="O20" s="31">
        <v>8</v>
      </c>
      <c r="P20" s="31">
        <v>8</v>
      </c>
      <c r="Q20" s="31">
        <v>8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spans="1:34" ht="16.5" customHeight="1" x14ac:dyDescent="0.3">
      <c r="A21" s="32">
        <v>46068</v>
      </c>
      <c r="B21" s="33" t="s">
        <v>64</v>
      </c>
      <c r="C21" s="33" t="s">
        <v>64</v>
      </c>
      <c r="D21" s="34">
        <v>0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</row>
    <row r="22" spans="1:34" ht="16.5" customHeight="1" x14ac:dyDescent="0.3">
      <c r="A22" s="27">
        <v>46069</v>
      </c>
      <c r="B22" s="28" t="s">
        <v>65</v>
      </c>
      <c r="C22" s="29" t="s">
        <v>61</v>
      </c>
      <c r="D22" s="30">
        <v>8</v>
      </c>
      <c r="E22" s="31">
        <v>8</v>
      </c>
      <c r="F22" s="31">
        <v>8</v>
      </c>
      <c r="G22" s="31">
        <v>8</v>
      </c>
      <c r="H22" s="31">
        <v>7.4</v>
      </c>
      <c r="I22" s="31">
        <v>8</v>
      </c>
      <c r="J22" s="31" t="s">
        <v>140</v>
      </c>
      <c r="K22" s="31">
        <v>8</v>
      </c>
      <c r="L22" s="31">
        <v>8</v>
      </c>
      <c r="M22" s="31">
        <v>5</v>
      </c>
      <c r="N22" s="31">
        <v>8</v>
      </c>
      <c r="O22" s="31">
        <v>8</v>
      </c>
      <c r="P22" s="31">
        <v>8</v>
      </c>
      <c r="Q22" s="31">
        <v>8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 spans="1:34" ht="16.5" customHeight="1" x14ac:dyDescent="0.3">
      <c r="A23" s="22">
        <v>46070</v>
      </c>
      <c r="B23" s="23" t="s">
        <v>66</v>
      </c>
      <c r="C23" s="24" t="s">
        <v>61</v>
      </c>
      <c r="D23" s="25">
        <v>8</v>
      </c>
      <c r="E23" s="26">
        <v>5</v>
      </c>
      <c r="F23" s="26">
        <v>8</v>
      </c>
      <c r="G23" s="26">
        <v>8</v>
      </c>
      <c r="H23" s="26">
        <v>8</v>
      </c>
      <c r="I23" s="26">
        <v>8</v>
      </c>
      <c r="J23" s="26">
        <v>8</v>
      </c>
      <c r="K23" s="26">
        <v>8</v>
      </c>
      <c r="L23" s="26">
        <v>7.45</v>
      </c>
      <c r="M23" s="26">
        <v>8</v>
      </c>
      <c r="N23" s="26">
        <v>8</v>
      </c>
      <c r="O23" s="26">
        <v>8</v>
      </c>
      <c r="P23" s="26">
        <v>8</v>
      </c>
      <c r="Q23" s="26">
        <v>8</v>
      </c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16.5" customHeight="1" x14ac:dyDescent="0.3">
      <c r="A24" s="27">
        <v>46071</v>
      </c>
      <c r="B24" s="28" t="s">
        <v>67</v>
      </c>
      <c r="C24" s="29" t="s">
        <v>61</v>
      </c>
      <c r="D24" s="30">
        <v>8</v>
      </c>
      <c r="E24" s="31">
        <v>8</v>
      </c>
      <c r="F24" s="31">
        <v>8</v>
      </c>
      <c r="G24" s="31">
        <v>5</v>
      </c>
      <c r="H24" s="31">
        <v>5.4</v>
      </c>
      <c r="I24" s="31">
        <v>3.55</v>
      </c>
      <c r="J24" s="31">
        <v>8</v>
      </c>
      <c r="K24" s="31">
        <v>8</v>
      </c>
      <c r="L24" s="31">
        <v>7.55</v>
      </c>
      <c r="M24" s="31">
        <v>7.55</v>
      </c>
      <c r="N24" s="31">
        <v>8</v>
      </c>
      <c r="O24" s="31">
        <v>8</v>
      </c>
      <c r="P24" s="31">
        <v>8</v>
      </c>
      <c r="Q24" s="31">
        <v>8</v>
      </c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</row>
    <row r="25" spans="1:34" ht="16.5" customHeight="1" x14ac:dyDescent="0.3">
      <c r="A25" s="22">
        <v>46072</v>
      </c>
      <c r="B25" s="23" t="s">
        <v>60</v>
      </c>
      <c r="C25" s="24" t="s">
        <v>61</v>
      </c>
      <c r="D25" s="25">
        <v>8</v>
      </c>
      <c r="E25" s="26">
        <v>8</v>
      </c>
      <c r="F25" s="26">
        <v>8</v>
      </c>
      <c r="G25" s="26">
        <v>8</v>
      </c>
      <c r="H25" s="26">
        <v>7.5</v>
      </c>
      <c r="I25" s="26">
        <v>7.53</v>
      </c>
      <c r="J25" s="26">
        <v>8</v>
      </c>
      <c r="K25" s="26">
        <v>8</v>
      </c>
      <c r="L25" s="26">
        <v>8</v>
      </c>
      <c r="M25" s="26">
        <v>8</v>
      </c>
      <c r="N25" s="26">
        <v>8</v>
      </c>
      <c r="O25" s="26">
        <v>8</v>
      </c>
      <c r="P25" s="26">
        <v>8</v>
      </c>
      <c r="Q25" s="26">
        <v>8</v>
      </c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16.5" customHeight="1" x14ac:dyDescent="0.3">
      <c r="A26" s="27">
        <v>46073</v>
      </c>
      <c r="B26" s="28" t="s">
        <v>62</v>
      </c>
      <c r="C26" s="29" t="s">
        <v>61</v>
      </c>
      <c r="D26" s="30">
        <v>8</v>
      </c>
      <c r="E26" s="31">
        <v>8</v>
      </c>
      <c r="F26" s="31">
        <v>8</v>
      </c>
      <c r="G26" s="31">
        <v>8</v>
      </c>
      <c r="H26" s="31">
        <v>8</v>
      </c>
      <c r="I26" s="31">
        <v>8</v>
      </c>
      <c r="J26" s="31">
        <v>8</v>
      </c>
      <c r="K26" s="31">
        <v>8</v>
      </c>
      <c r="L26" s="31">
        <v>8</v>
      </c>
      <c r="M26" s="31">
        <v>8</v>
      </c>
      <c r="N26" s="31">
        <v>8</v>
      </c>
      <c r="O26" s="31">
        <v>8</v>
      </c>
      <c r="P26" s="31">
        <v>8</v>
      </c>
      <c r="Q26" s="31">
        <v>8</v>
      </c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 spans="1:34" ht="16.5" customHeight="1" x14ac:dyDescent="0.3">
      <c r="A27" s="22">
        <v>46074</v>
      </c>
      <c r="B27" s="23" t="s">
        <v>63</v>
      </c>
      <c r="C27" s="24" t="s">
        <v>61</v>
      </c>
      <c r="D27" s="25">
        <v>8</v>
      </c>
      <c r="E27" s="26">
        <v>8</v>
      </c>
      <c r="F27" s="26">
        <v>8</v>
      </c>
      <c r="G27" s="26">
        <v>8</v>
      </c>
      <c r="H27" s="26" t="s">
        <v>140</v>
      </c>
      <c r="I27" s="26" t="s">
        <v>140</v>
      </c>
      <c r="J27" s="26">
        <v>8</v>
      </c>
      <c r="K27" s="26">
        <v>8</v>
      </c>
      <c r="L27" s="26">
        <v>8</v>
      </c>
      <c r="M27" s="26">
        <v>8</v>
      </c>
      <c r="N27" s="26">
        <v>8</v>
      </c>
      <c r="O27" s="26">
        <v>8</v>
      </c>
      <c r="P27" s="26">
        <v>8</v>
      </c>
      <c r="Q27" s="26">
        <v>8</v>
      </c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16.5" customHeight="1" x14ac:dyDescent="0.3">
      <c r="A28" s="32">
        <v>46075</v>
      </c>
      <c r="B28" s="33" t="s">
        <v>64</v>
      </c>
      <c r="C28" s="33" t="s">
        <v>64</v>
      </c>
      <c r="D28" s="34">
        <v>0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</row>
    <row r="29" spans="1:34" ht="16.5" customHeight="1" x14ac:dyDescent="0.3">
      <c r="A29" s="22">
        <v>46076</v>
      </c>
      <c r="B29" s="23" t="s">
        <v>65</v>
      </c>
      <c r="C29" s="24" t="s">
        <v>61</v>
      </c>
      <c r="D29" s="25">
        <v>8</v>
      </c>
      <c r="E29" s="26">
        <v>8</v>
      </c>
      <c r="F29" s="26" t="s">
        <v>140</v>
      </c>
      <c r="G29" s="26">
        <v>8</v>
      </c>
      <c r="H29" s="26">
        <v>8</v>
      </c>
      <c r="I29" s="26">
        <v>8</v>
      </c>
      <c r="J29" s="26">
        <v>8</v>
      </c>
      <c r="K29" s="26">
        <v>8</v>
      </c>
      <c r="L29" s="26">
        <v>3</v>
      </c>
      <c r="M29" s="26" t="s">
        <v>140</v>
      </c>
      <c r="N29" s="26">
        <v>8</v>
      </c>
      <c r="O29" s="26">
        <v>8</v>
      </c>
      <c r="P29" s="26">
        <v>8</v>
      </c>
      <c r="Q29" s="26">
        <v>8</v>
      </c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ht="16.5" customHeight="1" x14ac:dyDescent="0.3">
      <c r="A30" s="27">
        <v>46077</v>
      </c>
      <c r="B30" s="28" t="s">
        <v>66</v>
      </c>
      <c r="C30" s="29" t="s">
        <v>61</v>
      </c>
      <c r="D30" s="30">
        <v>8</v>
      </c>
      <c r="E30" s="31">
        <v>8</v>
      </c>
      <c r="F30" s="31">
        <v>7.45</v>
      </c>
      <c r="G30" s="31">
        <v>7.45</v>
      </c>
      <c r="H30" s="31" t="s">
        <v>140</v>
      </c>
      <c r="I30" s="31">
        <v>7.5</v>
      </c>
      <c r="J30" s="31">
        <v>8</v>
      </c>
      <c r="K30" s="31">
        <v>8</v>
      </c>
      <c r="L30" s="31">
        <v>8</v>
      </c>
      <c r="M30" s="31">
        <v>8</v>
      </c>
      <c r="N30" s="31">
        <v>8</v>
      </c>
      <c r="O30" s="31">
        <v>8</v>
      </c>
      <c r="P30" s="31">
        <v>8</v>
      </c>
      <c r="Q30" s="31">
        <v>8</v>
      </c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 spans="1:34" ht="16.5" customHeight="1" x14ac:dyDescent="0.3">
      <c r="A31" s="22">
        <v>46078</v>
      </c>
      <c r="B31" s="23" t="s">
        <v>67</v>
      </c>
      <c r="C31" s="24" t="s">
        <v>61</v>
      </c>
      <c r="D31" s="25">
        <v>8</v>
      </c>
      <c r="E31" s="26">
        <v>5</v>
      </c>
      <c r="F31" s="26">
        <v>8</v>
      </c>
      <c r="G31" s="26">
        <v>8</v>
      </c>
      <c r="H31" s="26">
        <v>8</v>
      </c>
      <c r="I31" s="26">
        <v>8</v>
      </c>
      <c r="J31" s="26">
        <v>8</v>
      </c>
      <c r="K31" s="26">
        <v>8</v>
      </c>
      <c r="L31" s="26">
        <v>7.5</v>
      </c>
      <c r="M31" s="26">
        <v>8</v>
      </c>
      <c r="N31" s="26">
        <v>8</v>
      </c>
      <c r="O31" s="26">
        <v>8</v>
      </c>
      <c r="P31" s="26">
        <v>8</v>
      </c>
      <c r="Q31" s="26">
        <v>8</v>
      </c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34" ht="16.5" customHeight="1" x14ac:dyDescent="0.3">
      <c r="A32" s="27">
        <v>46079</v>
      </c>
      <c r="B32" s="28" t="s">
        <v>60</v>
      </c>
      <c r="C32" s="29" t="s">
        <v>61</v>
      </c>
      <c r="D32" s="30">
        <v>8</v>
      </c>
      <c r="E32" s="31">
        <v>8</v>
      </c>
      <c r="F32" s="31">
        <v>8</v>
      </c>
      <c r="G32" s="31">
        <v>8</v>
      </c>
      <c r="H32" s="31">
        <v>8</v>
      </c>
      <c r="I32" s="31">
        <v>8</v>
      </c>
      <c r="J32" s="31">
        <v>8</v>
      </c>
      <c r="K32" s="31">
        <v>8</v>
      </c>
      <c r="L32" s="31">
        <v>8</v>
      </c>
      <c r="M32" s="31">
        <v>7.1</v>
      </c>
      <c r="N32" s="31">
        <v>8</v>
      </c>
      <c r="O32" s="31">
        <v>8</v>
      </c>
      <c r="P32" s="31">
        <v>8</v>
      </c>
      <c r="Q32" s="31">
        <v>8</v>
      </c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</row>
    <row r="33" spans="1:34" ht="16.5" customHeight="1" x14ac:dyDescent="0.3">
      <c r="A33" s="22">
        <v>46080</v>
      </c>
      <c r="B33" s="23" t="s">
        <v>62</v>
      </c>
      <c r="C33" s="24" t="s">
        <v>61</v>
      </c>
      <c r="D33" s="25">
        <v>8</v>
      </c>
      <c r="E33" s="26">
        <v>8</v>
      </c>
      <c r="F33" s="26">
        <v>8</v>
      </c>
      <c r="G33" s="26">
        <v>8</v>
      </c>
      <c r="H33" s="26">
        <v>7.45</v>
      </c>
      <c r="I33" s="26">
        <v>8</v>
      </c>
      <c r="J33" s="26">
        <v>8</v>
      </c>
      <c r="K33" s="26">
        <v>8</v>
      </c>
      <c r="L33" s="26">
        <v>8</v>
      </c>
      <c r="M33" s="26">
        <v>8</v>
      </c>
      <c r="N33" s="26">
        <v>8</v>
      </c>
      <c r="O33" s="26">
        <v>8</v>
      </c>
      <c r="P33" s="26">
        <v>8</v>
      </c>
      <c r="Q33" s="26">
        <v>8</v>
      </c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ht="16.5" customHeight="1" x14ac:dyDescent="0.3">
      <c r="A34" s="27">
        <v>46081</v>
      </c>
      <c r="B34" s="28" t="s">
        <v>63</v>
      </c>
      <c r="C34" s="29" t="s">
        <v>61</v>
      </c>
      <c r="D34" s="30">
        <v>8</v>
      </c>
      <c r="E34" s="31">
        <v>8</v>
      </c>
      <c r="F34" s="31">
        <v>8</v>
      </c>
      <c r="G34" s="31">
        <v>8</v>
      </c>
      <c r="H34" s="31">
        <v>7.45</v>
      </c>
      <c r="I34" s="31">
        <v>7.5</v>
      </c>
      <c r="J34" s="31">
        <v>8</v>
      </c>
      <c r="K34" s="31">
        <v>8</v>
      </c>
      <c r="L34" s="31">
        <v>7.45</v>
      </c>
      <c r="M34" s="31">
        <v>8</v>
      </c>
      <c r="N34" s="31">
        <v>8</v>
      </c>
      <c r="O34" s="31">
        <v>8</v>
      </c>
      <c r="P34" s="31">
        <v>8</v>
      </c>
      <c r="Q34" s="31">
        <v>8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</row>
    <row r="36" spans="1:34" ht="21.75" customHeight="1" x14ac:dyDescent="0.3">
      <c r="A36" s="60" t="s">
        <v>68</v>
      </c>
      <c r="B36" s="60"/>
      <c r="C36" s="60"/>
      <c r="D36" s="60"/>
      <c r="E36" s="36">
        <f>IF(Setup!B15&lt;&gt;"",SUM(E7:E34),"")</f>
        <v>169.5</v>
      </c>
      <c r="F36" s="36">
        <f>IF(Setup!B16&lt;&gt;"",SUM(F7:F34),"")</f>
        <v>182</v>
      </c>
      <c r="G36" s="36">
        <f>IF(Setup!B17&lt;&gt;"",SUM(G7:G34),"")</f>
        <v>179</v>
      </c>
      <c r="H36" s="36">
        <f>IF(Setup!B18&lt;&gt;"",SUM(H7:H34),"")</f>
        <v>168.1</v>
      </c>
      <c r="I36" s="36">
        <f>IF(Setup!B19&lt;&gt;"",SUM(I7:I34),"")</f>
        <v>156.11000000000001</v>
      </c>
      <c r="J36" s="36">
        <f>IF(Setup!B20&lt;&gt;"",SUM(J7:J34),"")</f>
        <v>168</v>
      </c>
      <c r="K36" s="36">
        <f>IF(Setup!B21&lt;&gt;"",SUM(K7:K34),"")</f>
        <v>192</v>
      </c>
      <c r="L36" s="36">
        <f>IF(Setup!B22&lt;&gt;"",SUM(L7:L34),"")</f>
        <v>183.07999999999998</v>
      </c>
      <c r="M36" s="36">
        <f>IF(Setup!B23&lt;&gt;"",SUM(M7:M34),"")</f>
        <v>169.58</v>
      </c>
      <c r="N36" s="36">
        <f>IF(Setup!B24&lt;&gt;"",SUM(N7:N34),"")</f>
        <v>192</v>
      </c>
      <c r="O36" s="36">
        <f>IF(Setup!B25&lt;&gt;"",SUM(O7:O34),"")</f>
        <v>192</v>
      </c>
      <c r="P36" s="36">
        <f>IF(Setup!B26&lt;&gt;"",SUM(P7:P34),"")</f>
        <v>192</v>
      </c>
      <c r="Q36" s="36">
        <f>IF(Setup!B27&lt;&gt;"",SUM(Q7:Q34),"")</f>
        <v>192</v>
      </c>
      <c r="R36" s="36">
        <f>IF(Setup!B28&lt;&gt;"",SUM(R7:R34),"")</f>
        <v>0</v>
      </c>
      <c r="S36" s="36" t="str">
        <f>IF(Setup!B29&lt;&gt;"",SUM(S7:S34),"")</f>
        <v/>
      </c>
      <c r="T36" s="36" t="str">
        <f>IF(Setup!B30&lt;&gt;"",SUM(T7:T34),"")</f>
        <v/>
      </c>
      <c r="U36" s="36" t="str">
        <f>IF(Setup!B31&lt;&gt;"",SUM(U7:U34),"")</f>
        <v/>
      </c>
      <c r="V36" s="36" t="str">
        <f>IF(Setup!B32&lt;&gt;"",SUM(V7:V34),"")</f>
        <v/>
      </c>
      <c r="W36" s="36" t="str">
        <f>IF(Setup!B33&lt;&gt;"",SUM(W7:W34),"")</f>
        <v/>
      </c>
      <c r="X36" s="36" t="str">
        <f>IF(Setup!B34&lt;&gt;"",SUM(X7:X34),"")</f>
        <v/>
      </c>
      <c r="Y36" s="36" t="str">
        <f>IF(Setup!B35&lt;&gt;"",SUM(Y7:Y34),"")</f>
        <v/>
      </c>
      <c r="Z36" s="36" t="str">
        <f>IF(Setup!B36&lt;&gt;"",SUM(Z7:Z34),"")</f>
        <v/>
      </c>
      <c r="AA36" s="36" t="str">
        <f>IF(Setup!B37&lt;&gt;"",SUM(AA7:AA34),"")</f>
        <v/>
      </c>
      <c r="AB36" s="36" t="str">
        <f>IF(Setup!B38&lt;&gt;"",SUM(AB7:AB34),"")</f>
        <v/>
      </c>
      <c r="AC36" s="36" t="str">
        <f>IF(Setup!B39&lt;&gt;"",SUM(AC7:AC34),"")</f>
        <v/>
      </c>
      <c r="AD36" s="36" t="str">
        <f>IF(Setup!B40&lt;&gt;"",SUM(AD7:AD34),"")</f>
        <v/>
      </c>
      <c r="AE36" s="36" t="str">
        <f>IF(Setup!B41&lt;&gt;"",SUM(AE7:AE34),"")</f>
        <v/>
      </c>
      <c r="AF36" s="36" t="str">
        <f>IF(Setup!B42&lt;&gt;"",SUM(AF7:AF34),"")</f>
        <v/>
      </c>
      <c r="AG36" s="36" t="str">
        <f>IF(Setup!B43&lt;&gt;"",SUM(AG7:AG34),"")</f>
        <v/>
      </c>
      <c r="AH36" s="36" t="str">
        <f>IF(Setup!B44&lt;&gt;"",SUM(AH7:AH34),"")</f>
        <v/>
      </c>
    </row>
    <row r="37" spans="1:34" ht="19.5" customHeight="1" x14ac:dyDescent="0.3">
      <c r="A37" s="61" t="s">
        <v>69</v>
      </c>
      <c r="B37" s="61"/>
      <c r="C37" s="61"/>
      <c r="D37" s="61"/>
      <c r="E37" s="37">
        <f>IF(Setup!B15&lt;&gt;"",COUNTIFS(C7:C34,"WORK",E7:E34,0),"")</f>
        <v>0</v>
      </c>
      <c r="F37" s="37">
        <f>IF(Setup!B16&lt;&gt;"",COUNTIFS(C7:C34,"WORK",F7:F34,0),"")</f>
        <v>0</v>
      </c>
      <c r="G37" s="37">
        <f>IF(Setup!B17&lt;&gt;"",COUNTIFS(C7:C34,"WORK",G7:G34,0),"")</f>
        <v>0</v>
      </c>
      <c r="H37" s="37">
        <f>IF(Setup!B18&lt;&gt;"",COUNTIFS(C7:C34,"WORK",H7:H34,0),"")</f>
        <v>0</v>
      </c>
      <c r="I37" s="37">
        <f>IF(Setup!B19&lt;&gt;"",COUNTIFS(C7:C34,"WORK",I7:I34,0),"")</f>
        <v>0</v>
      </c>
      <c r="J37" s="37">
        <f>IF(Setup!B20&lt;&gt;"",COUNTIFS(C7:C34,"WORK",J7:J34,0),"")</f>
        <v>0</v>
      </c>
      <c r="K37" s="37">
        <f>IF(Setup!B21&lt;&gt;"",COUNTIFS(C7:C34,"WORK",K7:K34,0),"")</f>
        <v>0</v>
      </c>
      <c r="L37" s="37">
        <f>IF(Setup!B22&lt;&gt;"",COUNTIFS(C7:C34,"WORK",L7:L34,0),"")</f>
        <v>0</v>
      </c>
      <c r="M37" s="37">
        <f>IF(Setup!B23&lt;&gt;"",COUNTIFS(C7:C34,"WORK",M7:M34,0),"")</f>
        <v>0</v>
      </c>
      <c r="N37" s="37">
        <f>IF(Setup!B24&lt;&gt;"",COUNTIFS(C7:C34,"WORK",N7:N34,0),"")</f>
        <v>0</v>
      </c>
      <c r="O37" s="37">
        <f>IF(Setup!B25&lt;&gt;"",COUNTIFS(C7:C34,"WORK",O7:O34,0),"")</f>
        <v>0</v>
      </c>
      <c r="P37" s="37">
        <f>IF(Setup!B26&lt;&gt;"",COUNTIFS(C7:C34,"WORK",P7:P34,0),"")</f>
        <v>0</v>
      </c>
      <c r="Q37" s="37">
        <f>IF(Setup!B27&lt;&gt;"",COUNTIFS(C7:C34,"WORK",Q7:Q34,0),"")</f>
        <v>0</v>
      </c>
      <c r="R37" s="37">
        <f>IF(Setup!B28&lt;&gt;"",COUNTIFS(C7:C34,"WORK",R7:R34,0),"")</f>
        <v>0</v>
      </c>
      <c r="S37" s="37" t="str">
        <f>IF(Setup!B29&lt;&gt;"",COUNTIFS(C7:C34,"WORK",S7:S34,0),"")</f>
        <v/>
      </c>
      <c r="T37" s="37" t="str">
        <f>IF(Setup!B30&lt;&gt;"",COUNTIFS(C7:C34,"WORK",T7:T34,0),"")</f>
        <v/>
      </c>
      <c r="U37" s="37" t="str">
        <f>IF(Setup!B31&lt;&gt;"",COUNTIFS(C7:C34,"WORK",U7:U34,0),"")</f>
        <v/>
      </c>
      <c r="V37" s="37" t="str">
        <f>IF(Setup!B32&lt;&gt;"",COUNTIFS(C7:C34,"WORK",V7:V34,0),"")</f>
        <v/>
      </c>
      <c r="W37" s="37" t="str">
        <f>IF(Setup!B33&lt;&gt;"",COUNTIFS(C7:C34,"WORK",W7:W34,0),"")</f>
        <v/>
      </c>
      <c r="X37" s="37" t="str">
        <f>IF(Setup!B34&lt;&gt;"",COUNTIFS(C7:C34,"WORK",X7:X34,0),"")</f>
        <v/>
      </c>
      <c r="Y37" s="37" t="str">
        <f>IF(Setup!B35&lt;&gt;"",COUNTIFS(C7:C34,"WORK",Y7:Y34,0),"")</f>
        <v/>
      </c>
      <c r="Z37" s="37" t="str">
        <f>IF(Setup!B36&lt;&gt;"",COUNTIFS(C7:C34,"WORK",Z7:Z34,0),"")</f>
        <v/>
      </c>
      <c r="AA37" s="37" t="str">
        <f>IF(Setup!B37&lt;&gt;"",COUNTIFS(C7:C34,"WORK",AA7:AA34,0),"")</f>
        <v/>
      </c>
      <c r="AB37" s="37" t="str">
        <f>IF(Setup!B38&lt;&gt;"",COUNTIFS(C7:C34,"WORK",AB7:AB34,0),"")</f>
        <v/>
      </c>
      <c r="AC37" s="37" t="str">
        <f>IF(Setup!B39&lt;&gt;"",COUNTIFS(C7:C34,"WORK",AC7:AC34,0),"")</f>
        <v/>
      </c>
      <c r="AD37" s="37" t="str">
        <f>IF(Setup!B40&lt;&gt;"",COUNTIFS(C7:C34,"WORK",AD7:AD34,0),"")</f>
        <v/>
      </c>
      <c r="AE37" s="37" t="str">
        <f>IF(Setup!B41&lt;&gt;"",COUNTIFS(C7:C34,"WORK",AE7:AE34,0),"")</f>
        <v/>
      </c>
      <c r="AF37" s="37" t="str">
        <f>IF(Setup!B42&lt;&gt;"",COUNTIFS(C7:C34,"WORK",AF7:AF34,0),"")</f>
        <v/>
      </c>
      <c r="AG37" s="37" t="str">
        <f>IF(Setup!B43&lt;&gt;"",COUNTIFS(C7:C34,"WORK",AG7:AG34,0),"")</f>
        <v/>
      </c>
      <c r="AH37" s="37" t="str">
        <f>IF(Setup!B44&lt;&gt;"",COUNTIFS(C7:C34,"WORK",AH7:AH34,0),"")</f>
        <v/>
      </c>
    </row>
  </sheetData>
  <mergeCells count="3">
    <mergeCell ref="A1:AH1"/>
    <mergeCell ref="A36:D36"/>
    <mergeCell ref="A37:D3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H40"/>
  <sheetViews>
    <sheetView showGridLines="0" zoomScaleNormal="100" workbookViewId="0">
      <pane xSplit="4" ySplit="6" topLeftCell="E14" activePane="bottomRight" state="frozen"/>
      <selection pane="topRight" activeCell="E1" sqref="E1"/>
      <selection pane="bottomLeft" activeCell="A7" sqref="A7"/>
      <selection pane="bottomRight" activeCell="J4" sqref="J4"/>
    </sheetView>
  </sheetViews>
  <sheetFormatPr defaultColWidth="8.5546875" defaultRowHeight="14.4" x14ac:dyDescent="0.3"/>
  <cols>
    <col min="1" max="1" width="13" customWidth="1"/>
    <col min="2" max="2" width="5" customWidth="1"/>
    <col min="3" max="3" width="7" customWidth="1"/>
    <col min="4" max="4" width="9" customWidth="1"/>
    <col min="5" max="34" width="10" customWidth="1"/>
  </cols>
  <sheetData>
    <row r="1" spans="1:34" ht="31.5" customHeight="1" x14ac:dyDescent="0.3">
      <c r="A1" s="54" t="s">
        <v>72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 ht="19.5" customHeight="1" x14ac:dyDescent="0.3">
      <c r="A2" s="1" t="s">
        <v>53</v>
      </c>
      <c r="B2" s="10" t="s">
        <v>73</v>
      </c>
    </row>
    <row r="3" spans="1:34" ht="19.5" customHeight="1" x14ac:dyDescent="0.3">
      <c r="A3" s="1" t="s">
        <v>55</v>
      </c>
      <c r="B3" s="2">
        <f>Setup!B8</f>
        <v>8</v>
      </c>
      <c r="N3" t="s">
        <v>141</v>
      </c>
    </row>
    <row r="4" spans="1:34" ht="19.5" customHeight="1" x14ac:dyDescent="0.3">
      <c r="A4" s="1" t="s">
        <v>56</v>
      </c>
      <c r="B4" s="10">
        <v>208</v>
      </c>
    </row>
    <row r="6" spans="1:34" ht="31.5" customHeight="1" x14ac:dyDescent="0.3">
      <c r="A6" s="20" t="s">
        <v>4</v>
      </c>
      <c r="B6" s="20" t="s">
        <v>57</v>
      </c>
      <c r="C6" s="20" t="s">
        <v>58</v>
      </c>
      <c r="D6" s="20" t="s">
        <v>59</v>
      </c>
      <c r="E6" s="21" t="str">
        <f>Setup!B15</f>
        <v>Sheraz</v>
      </c>
      <c r="F6" s="21" t="str">
        <f>Setup!B16</f>
        <v>Zain</v>
      </c>
      <c r="G6" s="21" t="str">
        <f>Setup!B17</f>
        <v>Yousaf</v>
      </c>
      <c r="H6" s="21" t="str">
        <f>Setup!B18</f>
        <v>Hamza</v>
      </c>
      <c r="I6" s="21" t="str">
        <f>Setup!B19</f>
        <v>Amjad</v>
      </c>
      <c r="J6" s="21" t="str">
        <f>Setup!B20</f>
        <v>Tanveer</v>
      </c>
      <c r="K6" s="21" t="str">
        <f>Setup!B21</f>
        <v>Ali Zaman</v>
      </c>
      <c r="L6" s="21" t="str">
        <f>Setup!B22</f>
        <v>Awais Ali</v>
      </c>
      <c r="M6" s="21" t="str">
        <f>Setup!B23</f>
        <v>Ishtiaq</v>
      </c>
      <c r="N6" s="21" t="str">
        <f>Setup!B24</f>
        <v>Usama bhai</v>
      </c>
      <c r="O6" s="21" t="str">
        <f>Setup!B25</f>
        <v>Ahtisham</v>
      </c>
      <c r="P6" s="21" t="str">
        <f>Setup!B26</f>
        <v>Factory rent</v>
      </c>
      <c r="Q6" s="21" t="str">
        <f>Setup!B27</f>
        <v>Internet bill</v>
      </c>
      <c r="R6" s="21" t="str">
        <f>Setup!B28</f>
        <v>Saqab</v>
      </c>
      <c r="S6" s="21">
        <f>Setup!B29</f>
        <v>0</v>
      </c>
      <c r="T6" s="21">
        <f>Setup!B30</f>
        <v>0</v>
      </c>
      <c r="U6" s="21">
        <f>Setup!B31</f>
        <v>0</v>
      </c>
      <c r="V6" s="21">
        <f>Setup!B32</f>
        <v>0</v>
      </c>
      <c r="W6" s="21">
        <f>Setup!B33</f>
        <v>0</v>
      </c>
      <c r="X6" s="21">
        <f>Setup!B34</f>
        <v>0</v>
      </c>
      <c r="Y6" s="21">
        <f>Setup!B35</f>
        <v>0</v>
      </c>
      <c r="Z6" s="21">
        <f>Setup!B36</f>
        <v>0</v>
      </c>
      <c r="AA6" s="21">
        <f>Setup!B37</f>
        <v>0</v>
      </c>
      <c r="AB6" s="21">
        <f>Setup!B38</f>
        <v>0</v>
      </c>
      <c r="AC6" s="21">
        <f>Setup!B39</f>
        <v>0</v>
      </c>
      <c r="AD6" s="21">
        <f>Setup!B40</f>
        <v>0</v>
      </c>
      <c r="AE6" s="21">
        <f>Setup!B41</f>
        <v>0</v>
      </c>
      <c r="AF6" s="21">
        <f>Setup!B42</f>
        <v>0</v>
      </c>
      <c r="AG6" s="21">
        <f>Setup!B43</f>
        <v>0</v>
      </c>
      <c r="AH6" s="21">
        <f>Setup!B44</f>
        <v>0</v>
      </c>
    </row>
    <row r="7" spans="1:34" ht="16.5" customHeight="1" x14ac:dyDescent="0.3">
      <c r="A7" s="32">
        <v>46082</v>
      </c>
      <c r="B7" s="33" t="s">
        <v>64</v>
      </c>
      <c r="C7" s="33" t="s">
        <v>64</v>
      </c>
      <c r="D7" s="34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</row>
    <row r="8" spans="1:34" ht="16.5" customHeight="1" x14ac:dyDescent="0.3">
      <c r="A8" s="27">
        <v>46083</v>
      </c>
      <c r="B8" s="28" t="s">
        <v>65</v>
      </c>
      <c r="C8" s="29" t="s">
        <v>61</v>
      </c>
      <c r="D8" s="30">
        <v>8</v>
      </c>
      <c r="E8" s="31">
        <v>8</v>
      </c>
      <c r="F8" s="31">
        <v>8</v>
      </c>
      <c r="G8" s="31">
        <v>8</v>
      </c>
      <c r="H8" s="31">
        <v>8</v>
      </c>
      <c r="I8" s="31">
        <v>8</v>
      </c>
      <c r="J8" s="31">
        <v>8</v>
      </c>
      <c r="K8" s="31">
        <v>8</v>
      </c>
      <c r="L8" s="31">
        <v>8</v>
      </c>
      <c r="M8" s="31">
        <v>7.3</v>
      </c>
      <c r="N8" s="31">
        <v>8</v>
      </c>
      <c r="O8" s="31">
        <v>8</v>
      </c>
      <c r="P8" s="31">
        <v>8</v>
      </c>
      <c r="Q8" s="31">
        <v>8</v>
      </c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16.5" customHeight="1" x14ac:dyDescent="0.3">
      <c r="A9" s="22">
        <v>46084</v>
      </c>
      <c r="B9" s="23" t="s">
        <v>66</v>
      </c>
      <c r="C9" s="24" t="s">
        <v>61</v>
      </c>
      <c r="D9" s="25">
        <v>8</v>
      </c>
      <c r="E9" s="26">
        <v>8</v>
      </c>
      <c r="F9" s="26">
        <v>8</v>
      </c>
      <c r="G9" s="26">
        <v>8</v>
      </c>
      <c r="H9" s="26" t="s">
        <v>140</v>
      </c>
      <c r="I9" s="26" t="s">
        <v>140</v>
      </c>
      <c r="J9" s="26">
        <v>8</v>
      </c>
      <c r="K9" s="26">
        <v>8</v>
      </c>
      <c r="L9" s="26">
        <v>7.55</v>
      </c>
      <c r="M9" s="26">
        <v>3</v>
      </c>
      <c r="N9" s="26">
        <v>8</v>
      </c>
      <c r="O9" s="26">
        <v>8</v>
      </c>
      <c r="P9" s="26">
        <v>8</v>
      </c>
      <c r="Q9" s="26">
        <v>8</v>
      </c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 ht="16.5" customHeight="1" x14ac:dyDescent="0.3">
      <c r="A10" s="27">
        <v>46085</v>
      </c>
      <c r="B10" s="28" t="s">
        <v>67</v>
      </c>
      <c r="C10" s="29" t="s">
        <v>61</v>
      </c>
      <c r="D10" s="30">
        <v>8</v>
      </c>
      <c r="E10" s="31" t="s">
        <v>140</v>
      </c>
      <c r="F10" s="31">
        <v>8</v>
      </c>
      <c r="G10" s="31">
        <v>8</v>
      </c>
      <c r="H10" s="31">
        <v>8</v>
      </c>
      <c r="I10" s="31">
        <v>8</v>
      </c>
      <c r="J10" s="31">
        <v>8</v>
      </c>
      <c r="K10" s="31">
        <v>8</v>
      </c>
      <c r="L10" s="31">
        <v>8</v>
      </c>
      <c r="M10" s="31">
        <v>4</v>
      </c>
      <c r="N10" s="31">
        <v>8</v>
      </c>
      <c r="O10" s="31">
        <v>8</v>
      </c>
      <c r="P10" s="31">
        <v>8</v>
      </c>
      <c r="Q10" s="31">
        <v>8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ht="16.5" customHeight="1" x14ac:dyDescent="0.3">
      <c r="A11" s="22">
        <v>46086</v>
      </c>
      <c r="B11" s="23" t="s">
        <v>60</v>
      </c>
      <c r="C11" s="24" t="s">
        <v>61</v>
      </c>
      <c r="D11" s="25">
        <v>8</v>
      </c>
      <c r="E11" s="26">
        <v>8</v>
      </c>
      <c r="F11" s="26">
        <v>8</v>
      </c>
      <c r="G11" s="26">
        <v>8</v>
      </c>
      <c r="H11" s="26">
        <v>8.3000000000000007</v>
      </c>
      <c r="I11" s="26">
        <v>8</v>
      </c>
      <c r="J11" s="26">
        <v>8</v>
      </c>
      <c r="K11" s="26">
        <v>8</v>
      </c>
      <c r="L11" s="26">
        <v>7.45</v>
      </c>
      <c r="M11" s="26">
        <v>7.5</v>
      </c>
      <c r="N11" s="26">
        <v>8</v>
      </c>
      <c r="O11" s="26">
        <v>8</v>
      </c>
      <c r="P11" s="26">
        <v>8</v>
      </c>
      <c r="Q11" s="26">
        <v>8</v>
      </c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ht="16.5" customHeight="1" x14ac:dyDescent="0.3">
      <c r="A12" s="27">
        <v>46087</v>
      </c>
      <c r="B12" s="28" t="s">
        <v>62</v>
      </c>
      <c r="C12" s="29" t="s">
        <v>61</v>
      </c>
      <c r="D12" s="30">
        <v>8</v>
      </c>
      <c r="E12" s="31">
        <v>8</v>
      </c>
      <c r="F12" s="31">
        <v>8</v>
      </c>
      <c r="G12" s="31">
        <v>8</v>
      </c>
      <c r="H12" s="31">
        <v>8</v>
      </c>
      <c r="I12" s="31">
        <v>8</v>
      </c>
      <c r="J12" s="31">
        <v>8</v>
      </c>
      <c r="K12" s="31">
        <v>8</v>
      </c>
      <c r="L12" s="31">
        <v>8</v>
      </c>
      <c r="M12" s="31">
        <v>2</v>
      </c>
      <c r="N12" s="31">
        <v>8</v>
      </c>
      <c r="O12" s="31">
        <v>8</v>
      </c>
      <c r="P12" s="31">
        <v>8</v>
      </c>
      <c r="Q12" s="31">
        <v>8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4" ht="16.5" customHeight="1" x14ac:dyDescent="0.3">
      <c r="A13" s="22">
        <v>46088</v>
      </c>
      <c r="B13" s="23" t="s">
        <v>63</v>
      </c>
      <c r="C13" s="24" t="s">
        <v>61</v>
      </c>
      <c r="D13" s="25">
        <v>8</v>
      </c>
      <c r="E13" s="26">
        <v>8</v>
      </c>
      <c r="F13" s="26">
        <v>8</v>
      </c>
      <c r="G13" s="26">
        <v>8</v>
      </c>
      <c r="H13" s="26">
        <v>9.3000000000000007</v>
      </c>
      <c r="I13" s="26">
        <v>8</v>
      </c>
      <c r="J13" s="26">
        <v>8</v>
      </c>
      <c r="K13" s="26">
        <v>8</v>
      </c>
      <c r="L13" s="26">
        <v>8</v>
      </c>
      <c r="M13" s="26" t="s">
        <v>140</v>
      </c>
      <c r="N13" s="26">
        <v>8</v>
      </c>
      <c r="O13" s="26">
        <v>8</v>
      </c>
      <c r="P13" s="26">
        <v>8</v>
      </c>
      <c r="Q13" s="26">
        <v>8</v>
      </c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ht="16.5" customHeight="1" x14ac:dyDescent="0.3">
      <c r="A14" s="32">
        <v>46089</v>
      </c>
      <c r="B14" s="33" t="s">
        <v>64</v>
      </c>
      <c r="C14" s="33" t="s">
        <v>64</v>
      </c>
      <c r="D14" s="34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</row>
    <row r="15" spans="1:34" ht="16.5" customHeight="1" x14ac:dyDescent="0.3">
      <c r="A15" s="22">
        <v>46090</v>
      </c>
      <c r="B15" s="23" t="s">
        <v>65</v>
      </c>
      <c r="C15" s="24" t="s">
        <v>61</v>
      </c>
      <c r="D15" s="25">
        <v>8</v>
      </c>
      <c r="E15" s="26">
        <v>8</v>
      </c>
      <c r="F15" s="26">
        <v>8</v>
      </c>
      <c r="G15" s="26">
        <v>8</v>
      </c>
      <c r="H15" s="26">
        <v>8</v>
      </c>
      <c r="I15" s="26">
        <v>8</v>
      </c>
      <c r="J15" s="26">
        <v>8</v>
      </c>
      <c r="K15" s="26">
        <v>8</v>
      </c>
      <c r="L15" s="26">
        <v>8</v>
      </c>
      <c r="M15" s="26">
        <v>8</v>
      </c>
      <c r="N15" s="26">
        <v>8</v>
      </c>
      <c r="O15" s="26">
        <v>8</v>
      </c>
      <c r="P15" s="26">
        <v>8</v>
      </c>
      <c r="Q15" s="26">
        <v>8</v>
      </c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16.5" customHeight="1" x14ac:dyDescent="0.3">
      <c r="A16" s="27">
        <v>46091</v>
      </c>
      <c r="B16" s="28" t="s">
        <v>66</v>
      </c>
      <c r="C16" s="29" t="s">
        <v>61</v>
      </c>
      <c r="D16" s="30">
        <v>8</v>
      </c>
      <c r="E16" s="31">
        <v>8</v>
      </c>
      <c r="F16" s="31">
        <v>8</v>
      </c>
      <c r="G16" s="31">
        <v>8</v>
      </c>
      <c r="H16" s="31" t="s">
        <v>140</v>
      </c>
      <c r="I16" s="31">
        <v>8</v>
      </c>
      <c r="J16" s="31">
        <v>8</v>
      </c>
      <c r="K16" s="31">
        <v>8</v>
      </c>
      <c r="L16" s="31">
        <v>8</v>
      </c>
      <c r="M16" s="31">
        <v>8</v>
      </c>
      <c r="N16" s="31">
        <v>8</v>
      </c>
      <c r="O16" s="31">
        <v>8</v>
      </c>
      <c r="P16" s="31">
        <v>8</v>
      </c>
      <c r="Q16" s="31">
        <v>8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</row>
    <row r="17" spans="1:34" ht="16.5" customHeight="1" x14ac:dyDescent="0.3">
      <c r="A17" s="22">
        <v>46092</v>
      </c>
      <c r="B17" s="23" t="s">
        <v>67</v>
      </c>
      <c r="C17" s="24" t="s">
        <v>61</v>
      </c>
      <c r="D17" s="25">
        <v>8</v>
      </c>
      <c r="E17" s="26">
        <v>5</v>
      </c>
      <c r="F17" s="26">
        <v>8</v>
      </c>
      <c r="G17" s="26" t="s">
        <v>140</v>
      </c>
      <c r="H17" s="26">
        <v>8</v>
      </c>
      <c r="I17" s="26">
        <v>8</v>
      </c>
      <c r="J17" s="26">
        <v>8</v>
      </c>
      <c r="K17" s="26">
        <v>8</v>
      </c>
      <c r="L17" s="26">
        <v>7.55</v>
      </c>
      <c r="M17" s="26">
        <v>7.5</v>
      </c>
      <c r="N17" s="26">
        <v>8</v>
      </c>
      <c r="O17" s="26">
        <v>8</v>
      </c>
      <c r="P17" s="26">
        <v>8</v>
      </c>
      <c r="Q17" s="26">
        <v>8</v>
      </c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16.5" customHeight="1" x14ac:dyDescent="0.3">
      <c r="A18" s="27">
        <v>46093</v>
      </c>
      <c r="B18" s="28" t="s">
        <v>60</v>
      </c>
      <c r="C18" s="29" t="s">
        <v>61</v>
      </c>
      <c r="D18" s="30">
        <v>8</v>
      </c>
      <c r="E18" s="31">
        <v>8</v>
      </c>
      <c r="F18" s="31">
        <v>8</v>
      </c>
      <c r="G18" s="31">
        <v>8</v>
      </c>
      <c r="H18" s="31">
        <v>7.4</v>
      </c>
      <c r="I18" s="31">
        <v>8</v>
      </c>
      <c r="J18" s="31">
        <v>8</v>
      </c>
      <c r="K18" s="31">
        <v>8</v>
      </c>
      <c r="L18" s="31">
        <v>8</v>
      </c>
      <c r="M18" s="31">
        <v>7.5</v>
      </c>
      <c r="N18" s="31">
        <v>8</v>
      </c>
      <c r="O18" s="31">
        <v>8</v>
      </c>
      <c r="P18" s="31">
        <v>8</v>
      </c>
      <c r="Q18" s="31">
        <v>8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</row>
    <row r="19" spans="1:34" ht="16.5" customHeight="1" x14ac:dyDescent="0.3">
      <c r="A19" s="22">
        <v>46094</v>
      </c>
      <c r="B19" s="23" t="s">
        <v>62</v>
      </c>
      <c r="C19" s="24" t="s">
        <v>61</v>
      </c>
      <c r="D19" s="25">
        <v>8</v>
      </c>
      <c r="E19" s="26">
        <v>8</v>
      </c>
      <c r="F19" s="26">
        <v>8</v>
      </c>
      <c r="G19" s="26">
        <v>8</v>
      </c>
      <c r="H19" s="26">
        <v>7.5</v>
      </c>
      <c r="I19" s="26">
        <v>5.0999999999999996</v>
      </c>
      <c r="J19" s="26">
        <v>8</v>
      </c>
      <c r="K19" s="26">
        <v>8</v>
      </c>
      <c r="L19" s="26">
        <v>7.55</v>
      </c>
      <c r="M19" s="26">
        <v>8</v>
      </c>
      <c r="N19" s="26">
        <v>8</v>
      </c>
      <c r="O19" s="26">
        <v>8</v>
      </c>
      <c r="P19" s="26">
        <v>8</v>
      </c>
      <c r="Q19" s="26">
        <v>8</v>
      </c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16.5" customHeight="1" x14ac:dyDescent="0.3">
      <c r="A20" s="27">
        <v>46095</v>
      </c>
      <c r="B20" s="28" t="s">
        <v>63</v>
      </c>
      <c r="C20" s="29" t="s">
        <v>61</v>
      </c>
      <c r="D20" s="30">
        <v>8</v>
      </c>
      <c r="E20" s="31">
        <v>8</v>
      </c>
      <c r="F20" s="31">
        <v>8</v>
      </c>
      <c r="G20" s="31">
        <v>8</v>
      </c>
      <c r="H20" s="31">
        <v>7.45</v>
      </c>
      <c r="I20" s="31">
        <v>8</v>
      </c>
      <c r="J20" s="31">
        <v>8</v>
      </c>
      <c r="K20" s="31">
        <v>8</v>
      </c>
      <c r="L20" s="31">
        <v>5</v>
      </c>
      <c r="M20" s="31">
        <v>7.45</v>
      </c>
      <c r="N20" s="31">
        <v>8</v>
      </c>
      <c r="O20" s="31">
        <v>8</v>
      </c>
      <c r="P20" s="31">
        <v>8</v>
      </c>
      <c r="Q20" s="31">
        <v>8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spans="1:34" ht="16.5" customHeight="1" x14ac:dyDescent="0.3">
      <c r="A21" s="32">
        <v>46096</v>
      </c>
      <c r="B21" s="33" t="s">
        <v>64</v>
      </c>
      <c r="C21" s="33" t="s">
        <v>64</v>
      </c>
      <c r="D21" s="34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</row>
    <row r="22" spans="1:34" ht="16.5" customHeight="1" x14ac:dyDescent="0.3">
      <c r="A22" s="27">
        <v>46097</v>
      </c>
      <c r="B22" s="28" t="s">
        <v>65</v>
      </c>
      <c r="C22" s="29" t="s">
        <v>61</v>
      </c>
      <c r="D22" s="30">
        <v>8</v>
      </c>
      <c r="E22" s="31">
        <v>7.3</v>
      </c>
      <c r="F22" s="31" t="s">
        <v>140</v>
      </c>
      <c r="G22" s="31" t="s">
        <v>140</v>
      </c>
      <c r="H22" s="31">
        <v>7.45</v>
      </c>
      <c r="I22" s="31">
        <v>7.53</v>
      </c>
      <c r="J22" s="31">
        <v>8</v>
      </c>
      <c r="K22" s="31">
        <v>8</v>
      </c>
      <c r="L22" s="31">
        <v>7.2</v>
      </c>
      <c r="M22" s="31" t="s">
        <v>140</v>
      </c>
      <c r="N22" s="31">
        <v>8</v>
      </c>
      <c r="O22" s="31">
        <v>8</v>
      </c>
      <c r="P22" s="31">
        <v>8</v>
      </c>
      <c r="Q22" s="31">
        <v>8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 spans="1:34" ht="16.5" customHeight="1" x14ac:dyDescent="0.3">
      <c r="A23" s="22">
        <v>46098</v>
      </c>
      <c r="B23" s="23" t="s">
        <v>66</v>
      </c>
      <c r="C23" s="24" t="s">
        <v>61</v>
      </c>
      <c r="D23" s="25">
        <v>8</v>
      </c>
      <c r="E23" s="26">
        <v>7.55</v>
      </c>
      <c r="F23" s="26">
        <v>8</v>
      </c>
      <c r="G23" s="26" t="s">
        <v>140</v>
      </c>
      <c r="H23" s="26">
        <v>8</v>
      </c>
      <c r="I23" s="26">
        <v>8.5500000000000007</v>
      </c>
      <c r="J23" s="26">
        <v>8</v>
      </c>
      <c r="K23" s="26">
        <v>8</v>
      </c>
      <c r="L23" s="26" t="s">
        <v>140</v>
      </c>
      <c r="M23" s="26">
        <v>8</v>
      </c>
      <c r="N23" s="26">
        <v>8</v>
      </c>
      <c r="O23" s="26">
        <v>8</v>
      </c>
      <c r="P23" s="26">
        <v>8</v>
      </c>
      <c r="Q23" s="26">
        <v>8</v>
      </c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16.5" customHeight="1" x14ac:dyDescent="0.3">
      <c r="A24" s="27">
        <v>46099</v>
      </c>
      <c r="B24" s="28" t="s">
        <v>67</v>
      </c>
      <c r="C24" s="29" t="s">
        <v>61</v>
      </c>
      <c r="D24" s="30">
        <v>8</v>
      </c>
      <c r="E24" s="31">
        <v>8</v>
      </c>
      <c r="F24" s="31">
        <v>8</v>
      </c>
      <c r="G24" s="31">
        <v>8</v>
      </c>
      <c r="H24" s="31">
        <v>8</v>
      </c>
      <c r="I24" s="31">
        <v>8</v>
      </c>
      <c r="J24" s="31">
        <v>8</v>
      </c>
      <c r="K24" s="31">
        <v>8</v>
      </c>
      <c r="L24" s="31" t="s">
        <v>140</v>
      </c>
      <c r="M24" s="31">
        <v>8</v>
      </c>
      <c r="N24" s="31">
        <v>8</v>
      </c>
      <c r="O24" s="31">
        <v>8</v>
      </c>
      <c r="P24" s="31">
        <v>8</v>
      </c>
      <c r="Q24" s="31">
        <v>8</v>
      </c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</row>
    <row r="25" spans="1:34" ht="16.5" customHeight="1" x14ac:dyDescent="0.3">
      <c r="A25" s="22">
        <v>46100</v>
      </c>
      <c r="B25" s="23" t="s">
        <v>60</v>
      </c>
      <c r="C25" s="24" t="s">
        <v>61</v>
      </c>
      <c r="D25" s="25">
        <v>8</v>
      </c>
      <c r="E25" s="26">
        <v>5.45</v>
      </c>
      <c r="F25" s="26">
        <v>6</v>
      </c>
      <c r="G25" s="26">
        <v>6</v>
      </c>
      <c r="H25" s="26">
        <v>6</v>
      </c>
      <c r="I25" s="26">
        <v>6</v>
      </c>
      <c r="J25" s="26">
        <v>8</v>
      </c>
      <c r="K25" s="26">
        <v>8</v>
      </c>
      <c r="L25" s="26">
        <v>6</v>
      </c>
      <c r="M25" s="26">
        <v>6</v>
      </c>
      <c r="N25" s="26">
        <v>8</v>
      </c>
      <c r="O25" s="26">
        <v>8</v>
      </c>
      <c r="P25" s="26">
        <v>8</v>
      </c>
      <c r="Q25" s="26">
        <v>8</v>
      </c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16.5" customHeight="1" x14ac:dyDescent="0.3">
      <c r="A26" s="27">
        <v>46101</v>
      </c>
      <c r="B26" s="28" t="s">
        <v>62</v>
      </c>
      <c r="C26" s="29" t="s">
        <v>61</v>
      </c>
      <c r="D26" s="30">
        <v>8</v>
      </c>
      <c r="E26" s="31">
        <v>8</v>
      </c>
      <c r="F26" s="31">
        <v>8</v>
      </c>
      <c r="G26" s="31">
        <v>8</v>
      </c>
      <c r="H26" s="31">
        <v>8</v>
      </c>
      <c r="I26" s="31">
        <v>8</v>
      </c>
      <c r="J26" s="31">
        <v>8</v>
      </c>
      <c r="K26" s="31">
        <v>8</v>
      </c>
      <c r="L26" s="31">
        <v>8</v>
      </c>
      <c r="M26" s="31">
        <v>8</v>
      </c>
      <c r="N26" s="31">
        <v>8</v>
      </c>
      <c r="O26" s="31">
        <v>8</v>
      </c>
      <c r="P26" s="31">
        <v>8</v>
      </c>
      <c r="Q26" s="31">
        <v>8</v>
      </c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 spans="1:34" ht="16.5" customHeight="1" x14ac:dyDescent="0.3">
      <c r="A27" s="22">
        <v>46102</v>
      </c>
      <c r="B27" s="23" t="s">
        <v>63</v>
      </c>
      <c r="C27" s="24" t="s">
        <v>61</v>
      </c>
      <c r="D27" s="25">
        <v>8</v>
      </c>
      <c r="E27" s="26">
        <v>8</v>
      </c>
      <c r="F27" s="26">
        <v>8</v>
      </c>
      <c r="G27" s="26">
        <v>8</v>
      </c>
      <c r="H27" s="26">
        <v>8</v>
      </c>
      <c r="I27" s="26">
        <v>8</v>
      </c>
      <c r="J27" s="26">
        <v>8</v>
      </c>
      <c r="K27" s="26">
        <v>8</v>
      </c>
      <c r="L27" s="26">
        <v>8</v>
      </c>
      <c r="M27" s="26">
        <v>8</v>
      </c>
      <c r="N27" s="26">
        <v>8</v>
      </c>
      <c r="O27" s="26">
        <v>8</v>
      </c>
      <c r="P27" s="26">
        <v>8</v>
      </c>
      <c r="Q27" s="26">
        <v>8</v>
      </c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16.5" customHeight="1" x14ac:dyDescent="0.3">
      <c r="A28" s="32">
        <v>46103</v>
      </c>
      <c r="B28" s="33" t="s">
        <v>64</v>
      </c>
      <c r="C28" s="33" t="s">
        <v>64</v>
      </c>
      <c r="D28" s="34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</row>
    <row r="29" spans="1:34" ht="16.5" customHeight="1" x14ac:dyDescent="0.3">
      <c r="A29" s="22">
        <v>46104</v>
      </c>
      <c r="B29" s="23" t="s">
        <v>65</v>
      </c>
      <c r="C29" s="24" t="s">
        <v>61</v>
      </c>
      <c r="D29" s="25">
        <v>8</v>
      </c>
      <c r="E29" s="26">
        <v>8</v>
      </c>
      <c r="F29" s="26">
        <v>8</v>
      </c>
      <c r="G29" s="26">
        <v>8</v>
      </c>
      <c r="H29" s="26">
        <v>8</v>
      </c>
      <c r="I29" s="26">
        <v>8</v>
      </c>
      <c r="J29" s="26">
        <v>8</v>
      </c>
      <c r="K29" s="26">
        <v>8</v>
      </c>
      <c r="L29" s="26">
        <v>8</v>
      </c>
      <c r="M29" s="26">
        <v>8</v>
      </c>
      <c r="N29" s="26">
        <v>8</v>
      </c>
      <c r="O29" s="26">
        <v>8</v>
      </c>
      <c r="P29" s="26">
        <v>8</v>
      </c>
      <c r="Q29" s="26">
        <v>8</v>
      </c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ht="16.5" customHeight="1" x14ac:dyDescent="0.3">
      <c r="A30" s="27">
        <v>46105</v>
      </c>
      <c r="B30" s="28" t="s">
        <v>66</v>
      </c>
      <c r="C30" s="29" t="s">
        <v>61</v>
      </c>
      <c r="D30" s="30">
        <v>8</v>
      </c>
      <c r="E30" s="31" t="s">
        <v>140</v>
      </c>
      <c r="F30" s="31">
        <v>7</v>
      </c>
      <c r="G30" s="31">
        <v>3</v>
      </c>
      <c r="H30" s="31">
        <v>6.5</v>
      </c>
      <c r="I30" s="31" t="s">
        <v>140</v>
      </c>
      <c r="J30" s="31">
        <v>8</v>
      </c>
      <c r="K30" s="31">
        <v>8</v>
      </c>
      <c r="L30" s="31">
        <v>7.4</v>
      </c>
      <c r="M30" s="31">
        <v>5</v>
      </c>
      <c r="N30" s="31">
        <v>8</v>
      </c>
      <c r="O30" s="31">
        <v>8</v>
      </c>
      <c r="P30" s="31">
        <v>8</v>
      </c>
      <c r="Q30" s="31">
        <v>8</v>
      </c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 spans="1:34" ht="16.5" customHeight="1" x14ac:dyDescent="0.3">
      <c r="A31" s="22">
        <v>46106</v>
      </c>
      <c r="B31" s="23" t="s">
        <v>67</v>
      </c>
      <c r="C31" s="24" t="s">
        <v>61</v>
      </c>
      <c r="D31" s="25">
        <v>8</v>
      </c>
      <c r="E31" s="26" t="s">
        <v>140</v>
      </c>
      <c r="F31" s="26">
        <v>8</v>
      </c>
      <c r="G31" s="26">
        <v>8</v>
      </c>
      <c r="H31" s="26" t="s">
        <v>140</v>
      </c>
      <c r="I31" s="26">
        <v>8</v>
      </c>
      <c r="J31" s="26">
        <v>8</v>
      </c>
      <c r="K31" s="26">
        <v>8</v>
      </c>
      <c r="L31" s="26">
        <v>5</v>
      </c>
      <c r="M31" s="26">
        <v>4</v>
      </c>
      <c r="N31" s="26">
        <v>8</v>
      </c>
      <c r="O31" s="26">
        <v>8</v>
      </c>
      <c r="P31" s="26">
        <v>8</v>
      </c>
      <c r="Q31" s="26">
        <v>8</v>
      </c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34" ht="16.5" customHeight="1" x14ac:dyDescent="0.3">
      <c r="A32" s="27">
        <v>46107</v>
      </c>
      <c r="B32" s="28" t="s">
        <v>60</v>
      </c>
      <c r="C32" s="29" t="s">
        <v>61</v>
      </c>
      <c r="D32" s="30">
        <v>8</v>
      </c>
      <c r="E32" s="31" t="s">
        <v>140</v>
      </c>
      <c r="F32" s="31">
        <v>8</v>
      </c>
      <c r="G32" s="31">
        <v>8</v>
      </c>
      <c r="H32" s="31">
        <v>7.4</v>
      </c>
      <c r="I32" s="31">
        <v>8</v>
      </c>
      <c r="J32" s="31">
        <v>8</v>
      </c>
      <c r="K32" s="31">
        <v>8</v>
      </c>
      <c r="L32" s="31" t="s">
        <v>140</v>
      </c>
      <c r="M32" s="31">
        <v>5</v>
      </c>
      <c r="N32" s="31">
        <v>8</v>
      </c>
      <c r="O32" s="31">
        <v>8</v>
      </c>
      <c r="P32" s="31">
        <v>8</v>
      </c>
      <c r="Q32" s="31">
        <v>8</v>
      </c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</row>
    <row r="33" spans="1:34" ht="16.5" customHeight="1" x14ac:dyDescent="0.3">
      <c r="A33" s="22">
        <v>46108</v>
      </c>
      <c r="B33" s="23" t="s">
        <v>62</v>
      </c>
      <c r="C33" s="24" t="s">
        <v>61</v>
      </c>
      <c r="D33" s="25">
        <v>8</v>
      </c>
      <c r="E33" s="26">
        <v>7</v>
      </c>
      <c r="F33" s="26">
        <v>8</v>
      </c>
      <c r="G33" s="26" t="s">
        <v>140</v>
      </c>
      <c r="H33" s="26">
        <v>8</v>
      </c>
      <c r="I33" s="26">
        <v>8</v>
      </c>
      <c r="J33" s="26">
        <v>8</v>
      </c>
      <c r="K33" s="26">
        <v>8</v>
      </c>
      <c r="L33" s="26">
        <v>7.38</v>
      </c>
      <c r="M33" s="26">
        <v>7.3</v>
      </c>
      <c r="N33" s="26">
        <v>8</v>
      </c>
      <c r="O33" s="26">
        <v>8</v>
      </c>
      <c r="P33" s="26">
        <v>8</v>
      </c>
      <c r="Q33" s="26">
        <v>8</v>
      </c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ht="16.5" customHeight="1" x14ac:dyDescent="0.3">
      <c r="A34" s="27">
        <v>46109</v>
      </c>
      <c r="B34" s="28" t="s">
        <v>63</v>
      </c>
      <c r="C34" s="29" t="s">
        <v>61</v>
      </c>
      <c r="D34" s="30">
        <v>8</v>
      </c>
      <c r="E34" s="31" t="s">
        <v>140</v>
      </c>
      <c r="F34" s="31">
        <v>8</v>
      </c>
      <c r="G34" s="31">
        <v>8</v>
      </c>
      <c r="H34" s="31">
        <v>7.52</v>
      </c>
      <c r="I34" s="31" t="s">
        <v>140</v>
      </c>
      <c r="J34" s="31">
        <v>8</v>
      </c>
      <c r="K34" s="31">
        <v>8</v>
      </c>
      <c r="L34" s="31">
        <v>7.52</v>
      </c>
      <c r="M34" s="31">
        <v>7.45</v>
      </c>
      <c r="N34" s="31">
        <v>8</v>
      </c>
      <c r="O34" s="31">
        <v>8</v>
      </c>
      <c r="P34" s="31">
        <v>8</v>
      </c>
      <c r="Q34" s="31">
        <v>8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</row>
    <row r="35" spans="1:34" ht="16.5" customHeight="1" x14ac:dyDescent="0.3">
      <c r="A35" s="32">
        <v>46110</v>
      </c>
      <c r="B35" s="33" t="s">
        <v>64</v>
      </c>
      <c r="C35" s="33" t="s">
        <v>64</v>
      </c>
      <c r="D35" s="34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v>0</v>
      </c>
    </row>
    <row r="36" spans="1:34" ht="16.5" customHeight="1" x14ac:dyDescent="0.3">
      <c r="A36" s="27">
        <v>46111</v>
      </c>
      <c r="B36" s="28" t="s">
        <v>65</v>
      </c>
      <c r="C36" s="29" t="s">
        <v>61</v>
      </c>
      <c r="D36" s="30">
        <v>8</v>
      </c>
      <c r="E36" s="31">
        <v>8</v>
      </c>
      <c r="F36" s="31">
        <v>8</v>
      </c>
      <c r="G36" s="31" t="s">
        <v>140</v>
      </c>
      <c r="H36" s="31">
        <v>4.5</v>
      </c>
      <c r="I36" s="31">
        <v>8</v>
      </c>
      <c r="J36" s="31">
        <v>8</v>
      </c>
      <c r="K36" s="31">
        <v>8</v>
      </c>
      <c r="L36" s="31">
        <v>7.55</v>
      </c>
      <c r="M36" s="31">
        <v>7.55</v>
      </c>
      <c r="N36" s="31">
        <v>8</v>
      </c>
      <c r="O36" s="31">
        <v>8</v>
      </c>
      <c r="P36" s="31">
        <v>8</v>
      </c>
      <c r="Q36" s="31">
        <v>8</v>
      </c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</row>
    <row r="37" spans="1:34" ht="16.5" customHeight="1" x14ac:dyDescent="0.3">
      <c r="A37" s="22">
        <v>46112</v>
      </c>
      <c r="B37" s="23" t="s">
        <v>66</v>
      </c>
      <c r="C37" s="24" t="s">
        <v>61</v>
      </c>
      <c r="D37" s="25">
        <v>8</v>
      </c>
      <c r="E37" s="26">
        <v>8</v>
      </c>
      <c r="F37" s="26">
        <v>8</v>
      </c>
      <c r="G37" s="26">
        <v>8</v>
      </c>
      <c r="H37" s="26">
        <v>8</v>
      </c>
      <c r="I37" s="26">
        <v>8</v>
      </c>
      <c r="J37" s="26">
        <v>8</v>
      </c>
      <c r="K37" s="26">
        <v>8</v>
      </c>
      <c r="L37" s="26">
        <v>7.48</v>
      </c>
      <c r="M37" s="26">
        <v>5</v>
      </c>
      <c r="N37" s="26">
        <v>8</v>
      </c>
      <c r="O37" s="26">
        <v>8</v>
      </c>
      <c r="P37" s="26">
        <v>8</v>
      </c>
      <c r="Q37" s="26">
        <v>8</v>
      </c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9" spans="1:34" ht="21.75" customHeight="1" x14ac:dyDescent="0.3">
      <c r="A39" s="60" t="s">
        <v>68</v>
      </c>
      <c r="B39" s="60"/>
      <c r="C39" s="60"/>
      <c r="D39" s="60"/>
      <c r="E39" s="36">
        <f>IF(Setup!B15&lt;&gt;"",SUM(E7:E37),"")</f>
        <v>160.30000000000001</v>
      </c>
      <c r="F39" s="36">
        <f>IF(Setup!B16&lt;&gt;"",SUM(F7:F37),"")</f>
        <v>197</v>
      </c>
      <c r="G39" s="36">
        <f>IF(Setup!B17&lt;&gt;"",SUM(G7:G37),"")</f>
        <v>161</v>
      </c>
      <c r="H39" s="36">
        <f>IF(Setup!B18&lt;&gt;"",SUM(H7:H37),"")</f>
        <v>175.32000000000002</v>
      </c>
      <c r="I39" s="36">
        <f>IF(Setup!B19&lt;&gt;"",SUM(I7:I37),"")</f>
        <v>179.18</v>
      </c>
      <c r="J39" s="36">
        <f>IF(Setup!B20&lt;&gt;"",SUM(J7:J37),"")</f>
        <v>208</v>
      </c>
      <c r="K39" s="36">
        <f>IF(Setup!B21&lt;&gt;"",SUM(K7:K37),"")</f>
        <v>208</v>
      </c>
      <c r="L39" s="36">
        <f>IF(Setup!B22&lt;&gt;"",SUM(L7:L37),"")</f>
        <v>170.63000000000002</v>
      </c>
      <c r="M39" s="36">
        <f>IF(Setup!B23&lt;&gt;"",SUM(M7:M37),"")</f>
        <v>157.55000000000001</v>
      </c>
      <c r="N39" s="36">
        <f>IF(Setup!B24&lt;&gt;"",SUM(N7:N37),"")</f>
        <v>208</v>
      </c>
      <c r="O39" s="36">
        <f>IF(Setup!B25&lt;&gt;"",SUM(O7:O37),"")</f>
        <v>208</v>
      </c>
      <c r="P39" s="36">
        <f>IF(Setup!B26&lt;&gt;"",SUM(P7:P37),"")</f>
        <v>208</v>
      </c>
      <c r="Q39" s="36">
        <f>IF(Setup!B27&lt;&gt;"",SUM(Q7:Q37),"")</f>
        <v>208</v>
      </c>
      <c r="R39" s="36">
        <f>IF(Setup!B28&lt;&gt;"",SUM(R7:R37),"")</f>
        <v>0</v>
      </c>
      <c r="S39" s="36" t="str">
        <f>IF(Setup!B29&lt;&gt;"",SUM(S7:S37),"")</f>
        <v/>
      </c>
      <c r="T39" s="36" t="str">
        <f>IF(Setup!B30&lt;&gt;"",SUM(T7:T37),"")</f>
        <v/>
      </c>
      <c r="U39" s="36" t="str">
        <f>IF(Setup!B31&lt;&gt;"",SUM(U7:U37),"")</f>
        <v/>
      </c>
      <c r="V39" s="36" t="str">
        <f>IF(Setup!B32&lt;&gt;"",SUM(V7:V37),"")</f>
        <v/>
      </c>
      <c r="W39" s="36" t="str">
        <f>IF(Setup!B33&lt;&gt;"",SUM(W7:W37),"")</f>
        <v/>
      </c>
      <c r="X39" s="36" t="str">
        <f>IF(Setup!B34&lt;&gt;"",SUM(X7:X37),"")</f>
        <v/>
      </c>
      <c r="Y39" s="36" t="str">
        <f>IF(Setup!B35&lt;&gt;"",SUM(Y7:Y37),"")</f>
        <v/>
      </c>
      <c r="Z39" s="36" t="str">
        <f>IF(Setup!B36&lt;&gt;"",SUM(Z7:Z37),"")</f>
        <v/>
      </c>
      <c r="AA39" s="36" t="str">
        <f>IF(Setup!B37&lt;&gt;"",SUM(AA7:AA37),"")</f>
        <v/>
      </c>
      <c r="AB39" s="36" t="str">
        <f>IF(Setup!B38&lt;&gt;"",SUM(AB7:AB37),"")</f>
        <v/>
      </c>
      <c r="AC39" s="36" t="str">
        <f>IF(Setup!B39&lt;&gt;"",SUM(AC7:AC37),"")</f>
        <v/>
      </c>
      <c r="AD39" s="36" t="str">
        <f>IF(Setup!B40&lt;&gt;"",SUM(AD7:AD37),"")</f>
        <v/>
      </c>
      <c r="AE39" s="36" t="str">
        <f>IF(Setup!B41&lt;&gt;"",SUM(AE7:AE37),"")</f>
        <v/>
      </c>
      <c r="AF39" s="36" t="str">
        <f>IF(Setup!B42&lt;&gt;"",SUM(AF7:AF37),"")</f>
        <v/>
      </c>
      <c r="AG39" s="36" t="str">
        <f>IF(Setup!B43&lt;&gt;"",SUM(AG7:AG37),"")</f>
        <v/>
      </c>
      <c r="AH39" s="36" t="str">
        <f>IF(Setup!B44&lt;&gt;"",SUM(AH7:AH37),"")</f>
        <v/>
      </c>
    </row>
    <row r="40" spans="1:34" ht="19.5" customHeight="1" x14ac:dyDescent="0.3">
      <c r="A40" s="61" t="s">
        <v>69</v>
      </c>
      <c r="B40" s="61"/>
      <c r="C40" s="61"/>
      <c r="D40" s="61"/>
      <c r="E40" s="37">
        <f>IF(Setup!B15&lt;&gt;"",COUNTIFS(C7:C37,"WORK",E7:E37,0),"")</f>
        <v>0</v>
      </c>
      <c r="F40" s="37">
        <f>IF(Setup!B16&lt;&gt;"",COUNTIFS(C7:C37,"WORK",F7:F37,0),"")</f>
        <v>0</v>
      </c>
      <c r="G40" s="37">
        <f>IF(Setup!B17&lt;&gt;"",COUNTIFS(C7:C37,"WORK",G7:G37,0),"")</f>
        <v>0</v>
      </c>
      <c r="H40" s="37">
        <f>IF(Setup!B18&lt;&gt;"",COUNTIFS(C7:C37,"WORK",H7:H37,0),"")</f>
        <v>0</v>
      </c>
      <c r="I40" s="37">
        <f>IF(Setup!B19&lt;&gt;"",COUNTIFS(C7:C37,"WORK",I7:I37,0),"")</f>
        <v>0</v>
      </c>
      <c r="J40" s="37">
        <f>IF(Setup!B20&lt;&gt;"",COUNTIFS(C7:C37,"WORK",J7:J37,0),"")</f>
        <v>0</v>
      </c>
      <c r="K40" s="37">
        <f>IF(Setup!B21&lt;&gt;"",COUNTIFS(C7:C37,"WORK",K7:K37,0),"")</f>
        <v>0</v>
      </c>
      <c r="L40" s="37">
        <f>IF(Setup!B22&lt;&gt;"",COUNTIFS(C7:C37,"WORK",L7:L37,0),"")</f>
        <v>0</v>
      </c>
      <c r="M40" s="37">
        <f>IF(Setup!B23&lt;&gt;"",COUNTIFS(C7:C37,"WORK",M7:M37,0),"")</f>
        <v>0</v>
      </c>
      <c r="N40" s="37">
        <f>IF(Setup!B24&lt;&gt;"",COUNTIFS(C7:C37,"WORK",N7:N37,0),"")</f>
        <v>0</v>
      </c>
      <c r="O40" s="37">
        <f>IF(Setup!B25&lt;&gt;"",COUNTIFS(C7:C37,"WORK",O7:O37,0),"")</f>
        <v>0</v>
      </c>
      <c r="P40" s="37">
        <f>IF(Setup!B26&lt;&gt;"",COUNTIFS(C7:C37,"WORK",P7:P37,0),"")</f>
        <v>0</v>
      </c>
      <c r="Q40" s="37">
        <f>IF(Setup!B27&lt;&gt;"",COUNTIFS(C7:C37,"WORK",Q7:Q37,0),"")</f>
        <v>0</v>
      </c>
      <c r="R40" s="37">
        <f>IF(Setup!B28&lt;&gt;"",COUNTIFS(C7:C37,"WORK",R7:R37,0),"")</f>
        <v>0</v>
      </c>
      <c r="S40" s="37" t="str">
        <f>IF(Setup!B29&lt;&gt;"",COUNTIFS(C7:C37,"WORK",S7:S37,0),"")</f>
        <v/>
      </c>
      <c r="T40" s="37" t="str">
        <f>IF(Setup!B30&lt;&gt;"",COUNTIFS(C7:C37,"WORK",T7:T37,0),"")</f>
        <v/>
      </c>
      <c r="U40" s="37" t="str">
        <f>IF(Setup!B31&lt;&gt;"",COUNTIFS(C7:C37,"WORK",U7:U37,0),"")</f>
        <v/>
      </c>
      <c r="V40" s="37" t="str">
        <f>IF(Setup!B32&lt;&gt;"",COUNTIFS(C7:C37,"WORK",V7:V37,0),"")</f>
        <v/>
      </c>
      <c r="W40" s="37" t="str">
        <f>IF(Setup!B33&lt;&gt;"",COUNTIFS(C7:C37,"WORK",W7:W37,0),"")</f>
        <v/>
      </c>
      <c r="X40" s="37" t="str">
        <f>IF(Setup!B34&lt;&gt;"",COUNTIFS(C7:C37,"WORK",X7:X37,0),"")</f>
        <v/>
      </c>
      <c r="Y40" s="37" t="str">
        <f>IF(Setup!B35&lt;&gt;"",COUNTIFS(C7:C37,"WORK",Y7:Y37,0),"")</f>
        <v/>
      </c>
      <c r="Z40" s="37" t="str">
        <f>IF(Setup!B36&lt;&gt;"",COUNTIFS(C7:C37,"WORK",Z7:Z37,0),"")</f>
        <v/>
      </c>
      <c r="AA40" s="37" t="str">
        <f>IF(Setup!B37&lt;&gt;"",COUNTIFS(C7:C37,"WORK",AA7:AA37,0),"")</f>
        <v/>
      </c>
      <c r="AB40" s="37" t="str">
        <f>IF(Setup!B38&lt;&gt;"",COUNTIFS(C7:C37,"WORK",AB7:AB37,0),"")</f>
        <v/>
      </c>
      <c r="AC40" s="37" t="str">
        <f>IF(Setup!B39&lt;&gt;"",COUNTIFS(C7:C37,"WORK",AC7:AC37,0),"")</f>
        <v/>
      </c>
      <c r="AD40" s="37" t="str">
        <f>IF(Setup!B40&lt;&gt;"",COUNTIFS(C7:C37,"WORK",AD7:AD37,0),"")</f>
        <v/>
      </c>
      <c r="AE40" s="37" t="str">
        <f>IF(Setup!B41&lt;&gt;"",COUNTIFS(C7:C37,"WORK",AE7:AE37,0),"")</f>
        <v/>
      </c>
      <c r="AF40" s="37" t="str">
        <f>IF(Setup!B42&lt;&gt;"",COUNTIFS(C7:C37,"WORK",AF7:AF37,0),"")</f>
        <v/>
      </c>
      <c r="AG40" s="37" t="str">
        <f>IF(Setup!B43&lt;&gt;"",COUNTIFS(C7:C37,"WORK",AG7:AG37,0),"")</f>
        <v/>
      </c>
      <c r="AH40" s="37" t="str">
        <f>IF(Setup!B44&lt;&gt;"",COUNTIFS(C7:C37,"WORK",AH7:AH37,0),"")</f>
        <v/>
      </c>
    </row>
  </sheetData>
  <mergeCells count="3">
    <mergeCell ref="A1:AH1"/>
    <mergeCell ref="A39:D39"/>
    <mergeCell ref="A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H39"/>
  <sheetViews>
    <sheetView showGridLines="0" zoomScaleNormal="100" workbookViewId="0">
      <pane xSplit="4" ySplit="6" topLeftCell="E14" activePane="bottomRight" state="frozen"/>
      <selection pane="topRight" activeCell="E1" sqref="E1"/>
      <selection pane="bottomLeft" activeCell="A7" sqref="A7"/>
      <selection pane="bottomRight" activeCell="E21" sqref="E21"/>
    </sheetView>
  </sheetViews>
  <sheetFormatPr defaultColWidth="8.5546875" defaultRowHeight="14.4" x14ac:dyDescent="0.3"/>
  <cols>
    <col min="1" max="1" width="13" customWidth="1"/>
    <col min="2" max="2" width="5" customWidth="1"/>
    <col min="3" max="3" width="7" customWidth="1"/>
    <col min="4" max="4" width="9" customWidth="1"/>
    <col min="5" max="34" width="10" customWidth="1"/>
  </cols>
  <sheetData>
    <row r="1" spans="1:34" ht="31.5" customHeight="1" x14ac:dyDescent="0.3">
      <c r="A1" s="54" t="s">
        <v>74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 ht="19.5" customHeight="1" x14ac:dyDescent="0.3">
      <c r="A2" s="1" t="s">
        <v>53</v>
      </c>
      <c r="B2" s="10" t="s">
        <v>75</v>
      </c>
    </row>
    <row r="3" spans="1:34" ht="19.5" customHeight="1" x14ac:dyDescent="0.3">
      <c r="A3" s="1" t="s">
        <v>55</v>
      </c>
      <c r="B3" s="2">
        <f>Setup!B8</f>
        <v>8</v>
      </c>
    </row>
    <row r="4" spans="1:34" ht="19.5" customHeight="1" x14ac:dyDescent="0.3">
      <c r="A4" s="1" t="s">
        <v>56</v>
      </c>
      <c r="B4" s="10">
        <v>208</v>
      </c>
    </row>
    <row r="6" spans="1:34" ht="31.5" customHeight="1" x14ac:dyDescent="0.3">
      <c r="A6" s="20" t="s">
        <v>4</v>
      </c>
      <c r="B6" s="20" t="s">
        <v>57</v>
      </c>
      <c r="C6" s="20" t="s">
        <v>58</v>
      </c>
      <c r="D6" s="20" t="s">
        <v>59</v>
      </c>
      <c r="E6" s="21" t="str">
        <f>Setup!B15</f>
        <v>Sheraz</v>
      </c>
      <c r="F6" s="21" t="str">
        <f>Setup!B16</f>
        <v>Zain</v>
      </c>
      <c r="G6" s="21" t="str">
        <f>Setup!B17</f>
        <v>Yousaf</v>
      </c>
      <c r="H6" s="21" t="str">
        <f>Setup!B18</f>
        <v>Hamza</v>
      </c>
      <c r="I6" s="21" t="str">
        <f>Setup!B19</f>
        <v>Amjad</v>
      </c>
      <c r="J6" s="21" t="str">
        <f>Setup!B20</f>
        <v>Tanveer</v>
      </c>
      <c r="K6" s="21" t="str">
        <f>Setup!B21</f>
        <v>Ali Zaman</v>
      </c>
      <c r="L6" s="21" t="str">
        <f>Setup!B22</f>
        <v>Awais Ali</v>
      </c>
      <c r="M6" s="21" t="str">
        <f>Setup!B23</f>
        <v>Ishtiaq</v>
      </c>
      <c r="N6" s="21" t="str">
        <f>Setup!B24</f>
        <v>Usama bhai</v>
      </c>
      <c r="O6" s="21" t="str">
        <f>Setup!B25</f>
        <v>Ahtisham</v>
      </c>
      <c r="P6" s="21" t="str">
        <f>Setup!B26</f>
        <v>Factory rent</v>
      </c>
      <c r="Q6" s="21" t="str">
        <f>Setup!B27</f>
        <v>Internet bill</v>
      </c>
      <c r="R6" s="21" t="str">
        <f>Setup!B28</f>
        <v>Saqab</v>
      </c>
      <c r="S6" s="21">
        <f>Setup!B29</f>
        <v>0</v>
      </c>
      <c r="T6" s="21">
        <f>Setup!B30</f>
        <v>0</v>
      </c>
      <c r="U6" s="21">
        <f>Setup!B31</f>
        <v>0</v>
      </c>
      <c r="V6" s="21">
        <f>Setup!B32</f>
        <v>0</v>
      </c>
      <c r="W6" s="21">
        <f>Setup!B33</f>
        <v>0</v>
      </c>
      <c r="X6" s="21">
        <f>Setup!B34</f>
        <v>0</v>
      </c>
      <c r="Y6" s="21">
        <f>Setup!B35</f>
        <v>0</v>
      </c>
      <c r="Z6" s="21">
        <f>Setup!B36</f>
        <v>0</v>
      </c>
      <c r="AA6" s="21">
        <f>Setup!B37</f>
        <v>0</v>
      </c>
      <c r="AB6" s="21">
        <f>Setup!B38</f>
        <v>0</v>
      </c>
      <c r="AC6" s="21">
        <f>Setup!B39</f>
        <v>0</v>
      </c>
      <c r="AD6" s="21">
        <f>Setup!B40</f>
        <v>0</v>
      </c>
      <c r="AE6" s="21">
        <f>Setup!B41</f>
        <v>0</v>
      </c>
      <c r="AF6" s="21">
        <f>Setup!B42</f>
        <v>0</v>
      </c>
      <c r="AG6" s="21">
        <f>Setup!B43</f>
        <v>0</v>
      </c>
      <c r="AH6" s="21">
        <f>Setup!B44</f>
        <v>0</v>
      </c>
    </row>
    <row r="7" spans="1:34" ht="16.5" customHeight="1" x14ac:dyDescent="0.3">
      <c r="A7" s="22">
        <v>46113</v>
      </c>
      <c r="B7" s="23" t="s">
        <v>67</v>
      </c>
      <c r="C7" s="24" t="s">
        <v>61</v>
      </c>
      <c r="D7" s="25">
        <v>8</v>
      </c>
      <c r="E7" s="26">
        <v>8</v>
      </c>
      <c r="F7" s="26">
        <v>8</v>
      </c>
      <c r="G7" s="26">
        <v>8</v>
      </c>
      <c r="H7" s="26">
        <v>5</v>
      </c>
      <c r="I7" s="26">
        <v>7.48</v>
      </c>
      <c r="J7" s="26">
        <v>8</v>
      </c>
      <c r="K7" s="26">
        <v>8</v>
      </c>
      <c r="L7" s="26">
        <v>7.5</v>
      </c>
      <c r="M7" s="26">
        <v>7.55</v>
      </c>
      <c r="N7" s="26">
        <v>8</v>
      </c>
      <c r="O7" s="26">
        <v>8</v>
      </c>
      <c r="P7" s="26">
        <v>8</v>
      </c>
      <c r="Q7" s="26">
        <v>8</v>
      </c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ht="16.5" customHeight="1" x14ac:dyDescent="0.3">
      <c r="A8" s="27">
        <v>46114</v>
      </c>
      <c r="B8" s="28" t="s">
        <v>60</v>
      </c>
      <c r="C8" s="29" t="s">
        <v>61</v>
      </c>
      <c r="D8" s="30">
        <v>8</v>
      </c>
      <c r="E8" s="31">
        <v>7.55</v>
      </c>
      <c r="F8" s="31">
        <v>8</v>
      </c>
      <c r="G8" s="31">
        <v>8</v>
      </c>
      <c r="H8" s="31">
        <v>9</v>
      </c>
      <c r="I8" s="31">
        <v>7.45</v>
      </c>
      <c r="J8" s="31">
        <v>8</v>
      </c>
      <c r="K8" s="31">
        <v>8</v>
      </c>
      <c r="L8" s="31">
        <v>9</v>
      </c>
      <c r="M8" s="31">
        <v>7.55</v>
      </c>
      <c r="N8" s="31">
        <v>8</v>
      </c>
      <c r="O8" s="31">
        <v>8</v>
      </c>
      <c r="P8" s="31">
        <v>8</v>
      </c>
      <c r="Q8" s="31">
        <v>8</v>
      </c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16.5" customHeight="1" x14ac:dyDescent="0.3">
      <c r="A9" s="22">
        <v>46115</v>
      </c>
      <c r="B9" s="23" t="s">
        <v>62</v>
      </c>
      <c r="C9" s="24" t="s">
        <v>61</v>
      </c>
      <c r="D9" s="25">
        <v>8</v>
      </c>
      <c r="E9" s="26">
        <v>8</v>
      </c>
      <c r="F9" s="26">
        <v>8</v>
      </c>
      <c r="G9" s="26">
        <v>8</v>
      </c>
      <c r="H9" s="26">
        <v>7.5</v>
      </c>
      <c r="I9" s="26">
        <v>7.52</v>
      </c>
      <c r="J9" s="26">
        <v>8</v>
      </c>
      <c r="K9" s="26">
        <v>8</v>
      </c>
      <c r="L9" s="26">
        <v>8</v>
      </c>
      <c r="M9" s="26">
        <v>7.5</v>
      </c>
      <c r="N9" s="26">
        <v>8</v>
      </c>
      <c r="O9" s="26">
        <v>8</v>
      </c>
      <c r="P9" s="26">
        <v>8</v>
      </c>
      <c r="Q9" s="26">
        <v>8</v>
      </c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 ht="16.5" customHeight="1" x14ac:dyDescent="0.3">
      <c r="A10" s="27">
        <v>46116</v>
      </c>
      <c r="B10" s="28" t="s">
        <v>63</v>
      </c>
      <c r="C10" s="29" t="s">
        <v>61</v>
      </c>
      <c r="D10" s="30">
        <v>8</v>
      </c>
      <c r="E10" s="31">
        <v>8</v>
      </c>
      <c r="F10" s="31">
        <v>8</v>
      </c>
      <c r="G10" s="31">
        <v>8</v>
      </c>
      <c r="H10" s="31">
        <v>7.5</v>
      </c>
      <c r="I10" s="31">
        <v>5.43</v>
      </c>
      <c r="J10" s="31">
        <v>8</v>
      </c>
      <c r="K10" s="31">
        <v>8</v>
      </c>
      <c r="L10" s="31">
        <v>7.5</v>
      </c>
      <c r="M10" s="31">
        <v>8</v>
      </c>
      <c r="N10" s="31">
        <v>8</v>
      </c>
      <c r="O10" s="31">
        <v>8</v>
      </c>
      <c r="P10" s="31">
        <v>8</v>
      </c>
      <c r="Q10" s="31">
        <v>8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ht="16.5" customHeight="1" x14ac:dyDescent="0.3">
      <c r="A11" s="32">
        <v>46117</v>
      </c>
      <c r="B11" s="33" t="s">
        <v>64</v>
      </c>
      <c r="C11" s="33" t="s">
        <v>64</v>
      </c>
      <c r="D11" s="34">
        <v>0</v>
      </c>
      <c r="E11" s="35">
        <v>0</v>
      </c>
      <c r="F11" s="35">
        <v>8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</row>
    <row r="12" spans="1:34" ht="16.5" customHeight="1" x14ac:dyDescent="0.3">
      <c r="A12" s="27">
        <v>46118</v>
      </c>
      <c r="B12" s="28" t="s">
        <v>65</v>
      </c>
      <c r="C12" s="29" t="s">
        <v>61</v>
      </c>
      <c r="D12" s="30">
        <v>8</v>
      </c>
      <c r="E12" s="31">
        <v>8</v>
      </c>
      <c r="F12" s="31">
        <v>7.5</v>
      </c>
      <c r="G12" s="31" t="s">
        <v>140</v>
      </c>
      <c r="H12" s="31">
        <v>8</v>
      </c>
      <c r="I12" s="31">
        <v>7.5</v>
      </c>
      <c r="J12" s="31">
        <v>8</v>
      </c>
      <c r="K12" s="31">
        <v>8</v>
      </c>
      <c r="L12" s="31" t="s">
        <v>140</v>
      </c>
      <c r="M12" s="31">
        <v>8</v>
      </c>
      <c r="N12" s="31">
        <v>8</v>
      </c>
      <c r="O12" s="31">
        <v>8</v>
      </c>
      <c r="P12" s="31">
        <v>8</v>
      </c>
      <c r="Q12" s="31">
        <v>8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4" ht="16.5" customHeight="1" x14ac:dyDescent="0.3">
      <c r="A13" s="22">
        <v>46119</v>
      </c>
      <c r="B13" s="23" t="s">
        <v>66</v>
      </c>
      <c r="C13" s="24" t="s">
        <v>61</v>
      </c>
      <c r="D13" s="25">
        <v>8</v>
      </c>
      <c r="E13" s="26" t="s">
        <v>140</v>
      </c>
      <c r="F13" s="26">
        <v>8</v>
      </c>
      <c r="G13" s="26">
        <v>8</v>
      </c>
      <c r="H13" s="26">
        <v>8</v>
      </c>
      <c r="I13" s="26">
        <v>7.4</v>
      </c>
      <c r="J13" s="26">
        <v>8</v>
      </c>
      <c r="K13" s="26">
        <v>8</v>
      </c>
      <c r="L13" s="26">
        <v>8</v>
      </c>
      <c r="M13" s="26">
        <v>8</v>
      </c>
      <c r="N13" s="26">
        <v>8</v>
      </c>
      <c r="O13" s="26">
        <v>8</v>
      </c>
      <c r="P13" s="26">
        <v>8</v>
      </c>
      <c r="Q13" s="26">
        <v>8</v>
      </c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ht="16.5" customHeight="1" x14ac:dyDescent="0.3">
      <c r="A14" s="27">
        <v>46120</v>
      </c>
      <c r="B14" s="28" t="s">
        <v>67</v>
      </c>
      <c r="C14" s="29" t="s">
        <v>61</v>
      </c>
      <c r="D14" s="30">
        <v>8</v>
      </c>
      <c r="E14" s="31">
        <v>8</v>
      </c>
      <c r="F14" s="31">
        <v>7.4</v>
      </c>
      <c r="G14" s="31">
        <v>10</v>
      </c>
      <c r="H14" s="31">
        <v>5</v>
      </c>
      <c r="I14" s="31">
        <v>8</v>
      </c>
      <c r="J14" s="31">
        <v>8</v>
      </c>
      <c r="K14" s="31">
        <v>8</v>
      </c>
      <c r="L14" s="31">
        <v>7.5</v>
      </c>
      <c r="M14" s="31">
        <v>7.42</v>
      </c>
      <c r="N14" s="31">
        <v>8</v>
      </c>
      <c r="O14" s="31">
        <v>8</v>
      </c>
      <c r="P14" s="31">
        <v>8</v>
      </c>
      <c r="Q14" s="31">
        <v>8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</row>
    <row r="15" spans="1:34" ht="16.5" customHeight="1" x14ac:dyDescent="0.3">
      <c r="A15" s="22">
        <v>46121</v>
      </c>
      <c r="B15" s="23" t="s">
        <v>60</v>
      </c>
      <c r="C15" s="24" t="s">
        <v>61</v>
      </c>
      <c r="D15" s="25">
        <v>8</v>
      </c>
      <c r="E15" s="26">
        <v>8</v>
      </c>
      <c r="F15" s="26">
        <v>8</v>
      </c>
      <c r="G15" s="26">
        <v>8</v>
      </c>
      <c r="H15" s="26">
        <v>7.45</v>
      </c>
      <c r="I15" s="26">
        <v>8</v>
      </c>
      <c r="J15" s="26">
        <v>8</v>
      </c>
      <c r="K15" s="26">
        <v>8</v>
      </c>
      <c r="L15" s="26">
        <v>7.3</v>
      </c>
      <c r="M15" s="26">
        <v>8</v>
      </c>
      <c r="N15" s="26">
        <v>8</v>
      </c>
      <c r="O15" s="26">
        <v>8</v>
      </c>
      <c r="P15" s="26">
        <v>8</v>
      </c>
      <c r="Q15" s="26">
        <v>8</v>
      </c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16.5" customHeight="1" x14ac:dyDescent="0.3">
      <c r="A16" s="27">
        <v>46122</v>
      </c>
      <c r="B16" s="28" t="s">
        <v>62</v>
      </c>
      <c r="C16" s="29" t="s">
        <v>61</v>
      </c>
      <c r="D16" s="30">
        <v>8</v>
      </c>
      <c r="E16" s="31">
        <v>8</v>
      </c>
      <c r="F16" s="31">
        <v>8</v>
      </c>
      <c r="G16" s="31">
        <v>8</v>
      </c>
      <c r="H16" s="31">
        <v>7.45</v>
      </c>
      <c r="I16" s="31">
        <v>8</v>
      </c>
      <c r="J16" s="31">
        <v>8</v>
      </c>
      <c r="K16" s="31">
        <v>8</v>
      </c>
      <c r="L16" s="31">
        <v>8</v>
      </c>
      <c r="M16" s="31">
        <v>8</v>
      </c>
      <c r="N16" s="31">
        <v>8</v>
      </c>
      <c r="O16" s="31">
        <v>8</v>
      </c>
      <c r="P16" s="31">
        <v>8</v>
      </c>
      <c r="Q16" s="31">
        <v>8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</row>
    <row r="17" spans="1:34" ht="16.5" customHeight="1" x14ac:dyDescent="0.3">
      <c r="A17" s="22">
        <v>46123</v>
      </c>
      <c r="B17" s="23" t="s">
        <v>63</v>
      </c>
      <c r="C17" s="24" t="s">
        <v>61</v>
      </c>
      <c r="D17" s="25">
        <v>8</v>
      </c>
      <c r="E17" s="26">
        <v>8</v>
      </c>
      <c r="F17" s="26">
        <v>8</v>
      </c>
      <c r="G17" s="26">
        <v>8</v>
      </c>
      <c r="H17" s="26">
        <v>7.43</v>
      </c>
      <c r="I17" s="26">
        <v>7.5</v>
      </c>
      <c r="J17" s="26" t="s">
        <v>140</v>
      </c>
      <c r="K17" s="26">
        <v>8</v>
      </c>
      <c r="L17" s="26">
        <v>15.5</v>
      </c>
      <c r="M17" s="26" t="s">
        <v>140</v>
      </c>
      <c r="N17" s="26">
        <v>8</v>
      </c>
      <c r="O17" s="26">
        <v>8</v>
      </c>
      <c r="P17" s="26">
        <v>8</v>
      </c>
      <c r="Q17" s="26">
        <v>8</v>
      </c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16.5" customHeight="1" x14ac:dyDescent="0.3">
      <c r="A18" s="32">
        <v>46124</v>
      </c>
      <c r="B18" s="33" t="s">
        <v>64</v>
      </c>
      <c r="C18" s="33" t="s">
        <v>64</v>
      </c>
      <c r="D18" s="34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v>0</v>
      </c>
      <c r="AH18" s="35">
        <v>0</v>
      </c>
    </row>
    <row r="19" spans="1:34" ht="16.5" customHeight="1" x14ac:dyDescent="0.3">
      <c r="A19" s="22">
        <v>46125</v>
      </c>
      <c r="B19" s="23" t="s">
        <v>65</v>
      </c>
      <c r="C19" s="24" t="s">
        <v>61</v>
      </c>
      <c r="D19" s="25">
        <v>8</v>
      </c>
      <c r="E19" s="26">
        <v>7.55</v>
      </c>
      <c r="F19" s="26">
        <v>8</v>
      </c>
      <c r="G19" s="26">
        <v>8</v>
      </c>
      <c r="H19" s="26">
        <v>8</v>
      </c>
      <c r="I19" s="26">
        <v>8</v>
      </c>
      <c r="J19" s="26" t="s">
        <v>140</v>
      </c>
      <c r="K19" s="26">
        <v>8</v>
      </c>
      <c r="L19" s="26" t="s">
        <v>140</v>
      </c>
      <c r="M19" s="26">
        <v>15.55</v>
      </c>
      <c r="N19" s="26">
        <v>8</v>
      </c>
      <c r="O19" s="26">
        <v>8</v>
      </c>
      <c r="P19" s="26">
        <v>8</v>
      </c>
      <c r="Q19" s="26">
        <v>8</v>
      </c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16.5" customHeight="1" x14ac:dyDescent="0.3">
      <c r="A20" s="27">
        <v>46126</v>
      </c>
      <c r="B20" s="28" t="s">
        <v>66</v>
      </c>
      <c r="C20" s="29" t="s">
        <v>61</v>
      </c>
      <c r="D20" s="30">
        <v>8</v>
      </c>
      <c r="E20" s="31">
        <v>8</v>
      </c>
      <c r="F20" s="31">
        <v>8</v>
      </c>
      <c r="G20" s="31">
        <v>8</v>
      </c>
      <c r="H20" s="31">
        <v>8</v>
      </c>
      <c r="I20" s="31">
        <v>8</v>
      </c>
      <c r="J20" s="31" t="s">
        <v>140</v>
      </c>
      <c r="K20" s="31">
        <v>8</v>
      </c>
      <c r="L20" s="31">
        <v>8</v>
      </c>
      <c r="M20" s="31">
        <v>16</v>
      </c>
      <c r="N20" s="31">
        <v>8</v>
      </c>
      <c r="O20" s="31">
        <v>8</v>
      </c>
      <c r="P20" s="31">
        <v>8</v>
      </c>
      <c r="Q20" s="31">
        <v>8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spans="1:34" ht="16.5" customHeight="1" x14ac:dyDescent="0.3">
      <c r="A21" s="22">
        <v>46127</v>
      </c>
      <c r="B21" s="23" t="s">
        <v>67</v>
      </c>
      <c r="C21" s="24" t="s">
        <v>61</v>
      </c>
      <c r="D21" s="25">
        <v>8</v>
      </c>
      <c r="E21" s="26">
        <v>8</v>
      </c>
      <c r="F21" s="26">
        <v>8</v>
      </c>
      <c r="G21" s="26">
        <v>8</v>
      </c>
      <c r="H21" s="26">
        <v>8</v>
      </c>
      <c r="I21" s="26" t="s">
        <v>140</v>
      </c>
      <c r="J21" s="26">
        <v>8</v>
      </c>
      <c r="K21" s="26">
        <v>8</v>
      </c>
      <c r="L21" s="26">
        <v>7.5</v>
      </c>
      <c r="M21" s="26">
        <v>8</v>
      </c>
      <c r="N21" s="26">
        <v>8</v>
      </c>
      <c r="O21" s="26">
        <v>8</v>
      </c>
      <c r="P21" s="26">
        <v>8</v>
      </c>
      <c r="Q21" s="26">
        <v>8</v>
      </c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16.5" customHeight="1" x14ac:dyDescent="0.3">
      <c r="A22" s="27">
        <v>46128</v>
      </c>
      <c r="B22" s="28" t="s">
        <v>60</v>
      </c>
      <c r="C22" s="29" t="s">
        <v>61</v>
      </c>
      <c r="D22" s="30">
        <v>8</v>
      </c>
      <c r="E22" s="31" t="s">
        <v>140</v>
      </c>
      <c r="F22" s="31">
        <v>8</v>
      </c>
      <c r="G22" s="31">
        <v>8</v>
      </c>
      <c r="H22" s="31">
        <v>8</v>
      </c>
      <c r="I22" s="31">
        <v>8</v>
      </c>
      <c r="J22" s="31">
        <v>8</v>
      </c>
      <c r="K22" s="31">
        <v>8</v>
      </c>
      <c r="L22" s="31">
        <v>7.45</v>
      </c>
      <c r="M22" s="31">
        <v>8</v>
      </c>
      <c r="N22" s="31">
        <v>8</v>
      </c>
      <c r="O22" s="31">
        <v>8</v>
      </c>
      <c r="P22" s="31">
        <v>8</v>
      </c>
      <c r="Q22" s="31">
        <v>8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 spans="1:34" ht="16.5" customHeight="1" x14ac:dyDescent="0.3">
      <c r="A23" s="22">
        <v>46129</v>
      </c>
      <c r="B23" s="23" t="s">
        <v>62</v>
      </c>
      <c r="C23" s="24" t="s">
        <v>61</v>
      </c>
      <c r="D23" s="25">
        <v>8</v>
      </c>
      <c r="E23" s="26">
        <v>7.5</v>
      </c>
      <c r="F23" s="26">
        <v>8</v>
      </c>
      <c r="G23" s="26">
        <v>8</v>
      </c>
      <c r="H23" s="26" t="s">
        <v>140</v>
      </c>
      <c r="I23" s="26">
        <v>7.4</v>
      </c>
      <c r="J23" s="26">
        <v>8</v>
      </c>
      <c r="K23" s="26">
        <v>8</v>
      </c>
      <c r="L23" s="26">
        <v>7.5</v>
      </c>
      <c r="M23" s="26" t="s">
        <v>140</v>
      </c>
      <c r="N23" s="26">
        <v>8</v>
      </c>
      <c r="O23" s="26">
        <v>8</v>
      </c>
      <c r="P23" s="26">
        <v>8</v>
      </c>
      <c r="Q23" s="26">
        <v>8</v>
      </c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16.5" customHeight="1" x14ac:dyDescent="0.3">
      <c r="A24" s="27">
        <v>46130</v>
      </c>
      <c r="B24" s="28" t="s">
        <v>63</v>
      </c>
      <c r="C24" s="29" t="s">
        <v>61</v>
      </c>
      <c r="D24" s="30">
        <v>8</v>
      </c>
      <c r="E24" s="31">
        <v>8</v>
      </c>
      <c r="F24" s="31">
        <v>8</v>
      </c>
      <c r="G24" s="31">
        <v>8</v>
      </c>
      <c r="H24" s="31">
        <v>7.55</v>
      </c>
      <c r="I24" s="31">
        <v>7.55</v>
      </c>
      <c r="J24" s="31">
        <v>8</v>
      </c>
      <c r="K24" s="31">
        <v>8</v>
      </c>
      <c r="L24" s="31">
        <v>7.5</v>
      </c>
      <c r="M24" s="31">
        <v>8</v>
      </c>
      <c r="N24" s="31">
        <v>8</v>
      </c>
      <c r="O24" s="31">
        <v>8</v>
      </c>
      <c r="P24" s="31">
        <v>8</v>
      </c>
      <c r="Q24" s="31">
        <v>8</v>
      </c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</row>
    <row r="25" spans="1:34" ht="16.5" customHeight="1" x14ac:dyDescent="0.3">
      <c r="A25" s="32">
        <v>46131</v>
      </c>
      <c r="B25" s="33" t="s">
        <v>64</v>
      </c>
      <c r="C25" s="33" t="s">
        <v>64</v>
      </c>
      <c r="D25" s="34">
        <v>0</v>
      </c>
      <c r="E25" s="35">
        <v>0</v>
      </c>
      <c r="F25" s="35">
        <v>0</v>
      </c>
      <c r="G25" s="35">
        <v>0</v>
      </c>
      <c r="H25" s="35">
        <v>0</v>
      </c>
      <c r="I25" s="35">
        <v>7.5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</row>
    <row r="26" spans="1:34" ht="16.5" customHeight="1" x14ac:dyDescent="0.3">
      <c r="A26" s="27">
        <v>46132</v>
      </c>
      <c r="B26" s="28" t="s">
        <v>65</v>
      </c>
      <c r="C26" s="29" t="s">
        <v>61</v>
      </c>
      <c r="D26" s="30">
        <v>8</v>
      </c>
      <c r="E26" s="31">
        <v>8</v>
      </c>
      <c r="F26" s="31">
        <v>8</v>
      </c>
      <c r="G26" s="31">
        <v>8</v>
      </c>
      <c r="H26" s="31" t="s">
        <v>140</v>
      </c>
      <c r="I26" s="31">
        <v>7.5</v>
      </c>
      <c r="J26" s="31">
        <v>8</v>
      </c>
      <c r="K26" s="31">
        <v>8</v>
      </c>
      <c r="L26" s="31">
        <v>7.5</v>
      </c>
      <c r="M26" s="31">
        <v>8</v>
      </c>
      <c r="N26" s="31">
        <v>8</v>
      </c>
      <c r="O26" s="31">
        <v>8</v>
      </c>
      <c r="P26" s="31">
        <v>8</v>
      </c>
      <c r="Q26" s="31">
        <v>8</v>
      </c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 spans="1:34" ht="16.5" customHeight="1" x14ac:dyDescent="0.3">
      <c r="A27" s="22">
        <v>46133</v>
      </c>
      <c r="B27" s="23" t="s">
        <v>66</v>
      </c>
      <c r="C27" s="24" t="s">
        <v>61</v>
      </c>
      <c r="D27" s="25">
        <v>8</v>
      </c>
      <c r="E27" s="26">
        <v>8</v>
      </c>
      <c r="F27" s="26">
        <v>8</v>
      </c>
      <c r="G27" s="26">
        <v>8</v>
      </c>
      <c r="H27" s="26" t="s">
        <v>140</v>
      </c>
      <c r="I27" s="26">
        <v>8</v>
      </c>
      <c r="J27" s="26">
        <v>8</v>
      </c>
      <c r="K27" s="26">
        <v>8</v>
      </c>
      <c r="L27" s="26">
        <v>7.5</v>
      </c>
      <c r="M27" s="26">
        <v>5</v>
      </c>
      <c r="N27" s="26">
        <v>8</v>
      </c>
      <c r="O27" s="26">
        <v>8</v>
      </c>
      <c r="P27" s="26">
        <v>8</v>
      </c>
      <c r="Q27" s="26">
        <v>8</v>
      </c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16.5" customHeight="1" x14ac:dyDescent="0.3">
      <c r="A28" s="27">
        <v>46134</v>
      </c>
      <c r="B28" s="28" t="s">
        <v>67</v>
      </c>
      <c r="C28" s="29" t="s">
        <v>61</v>
      </c>
      <c r="D28" s="30">
        <v>8</v>
      </c>
      <c r="E28" s="31">
        <v>8</v>
      </c>
      <c r="F28" s="31">
        <v>8</v>
      </c>
      <c r="G28" s="31" t="s">
        <v>140</v>
      </c>
      <c r="H28" s="31" t="s">
        <v>140</v>
      </c>
      <c r="I28" s="31">
        <v>8</v>
      </c>
      <c r="J28" s="31">
        <v>8</v>
      </c>
      <c r="K28" s="31">
        <v>8</v>
      </c>
      <c r="L28" s="31">
        <v>8</v>
      </c>
      <c r="M28" s="31">
        <v>8</v>
      </c>
      <c r="N28" s="31">
        <v>8</v>
      </c>
      <c r="O28" s="31">
        <v>8</v>
      </c>
      <c r="P28" s="31">
        <v>8</v>
      </c>
      <c r="Q28" s="31">
        <v>8</v>
      </c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</row>
    <row r="29" spans="1:34" ht="16.5" customHeight="1" x14ac:dyDescent="0.3">
      <c r="A29" s="22">
        <v>46135</v>
      </c>
      <c r="B29" s="23" t="s">
        <v>60</v>
      </c>
      <c r="C29" s="24" t="s">
        <v>61</v>
      </c>
      <c r="D29" s="25">
        <v>8</v>
      </c>
      <c r="E29" s="26">
        <v>8</v>
      </c>
      <c r="F29" s="26">
        <v>8</v>
      </c>
      <c r="G29" s="26">
        <v>8</v>
      </c>
      <c r="H29" s="26">
        <v>8</v>
      </c>
      <c r="I29" s="26">
        <v>7.45</v>
      </c>
      <c r="J29" s="26" t="s">
        <v>140</v>
      </c>
      <c r="K29" s="26">
        <v>8</v>
      </c>
      <c r="L29" s="26">
        <v>8</v>
      </c>
      <c r="M29" s="26">
        <v>15.4</v>
      </c>
      <c r="N29" s="26">
        <v>8</v>
      </c>
      <c r="O29" s="26">
        <v>8</v>
      </c>
      <c r="P29" s="26">
        <v>8</v>
      </c>
      <c r="Q29" s="26">
        <v>8</v>
      </c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ht="16.5" customHeight="1" x14ac:dyDescent="0.3">
      <c r="A30" s="27">
        <v>46136</v>
      </c>
      <c r="B30" s="28" t="s">
        <v>62</v>
      </c>
      <c r="C30" s="29" t="s">
        <v>61</v>
      </c>
      <c r="D30" s="30">
        <v>8</v>
      </c>
      <c r="E30" s="31">
        <v>8</v>
      </c>
      <c r="F30" s="31">
        <v>8</v>
      </c>
      <c r="G30" s="31">
        <v>5</v>
      </c>
      <c r="H30" s="31">
        <v>8</v>
      </c>
      <c r="I30" s="31">
        <v>8</v>
      </c>
      <c r="J30" s="31" t="s">
        <v>140</v>
      </c>
      <c r="K30" s="31">
        <v>8</v>
      </c>
      <c r="L30" s="31">
        <v>8</v>
      </c>
      <c r="M30" s="31">
        <v>16</v>
      </c>
      <c r="N30" s="31">
        <v>8</v>
      </c>
      <c r="O30" s="31">
        <v>8</v>
      </c>
      <c r="P30" s="31">
        <v>8</v>
      </c>
      <c r="Q30" s="31">
        <v>8</v>
      </c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 spans="1:34" ht="16.5" customHeight="1" x14ac:dyDescent="0.3">
      <c r="A31" s="22">
        <v>46137</v>
      </c>
      <c r="B31" s="23" t="s">
        <v>63</v>
      </c>
      <c r="C31" s="24" t="s">
        <v>61</v>
      </c>
      <c r="D31" s="25">
        <v>8</v>
      </c>
      <c r="E31" s="26">
        <v>7.45</v>
      </c>
      <c r="F31" s="26">
        <v>8</v>
      </c>
      <c r="G31" s="26">
        <v>8</v>
      </c>
      <c r="H31" s="26">
        <v>9</v>
      </c>
      <c r="I31" s="26">
        <v>7.5</v>
      </c>
      <c r="J31" s="26">
        <v>8</v>
      </c>
      <c r="K31" s="26">
        <v>8</v>
      </c>
      <c r="L31" s="26">
        <v>7.5</v>
      </c>
      <c r="M31" s="26">
        <v>8</v>
      </c>
      <c r="N31" s="26">
        <v>8</v>
      </c>
      <c r="O31" s="26">
        <v>8</v>
      </c>
      <c r="P31" s="26">
        <v>8</v>
      </c>
      <c r="Q31" s="26">
        <v>8</v>
      </c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34" ht="16.5" customHeight="1" x14ac:dyDescent="0.3">
      <c r="A32" s="32">
        <v>46138</v>
      </c>
      <c r="B32" s="33" t="s">
        <v>64</v>
      </c>
      <c r="C32" s="33" t="s">
        <v>64</v>
      </c>
      <c r="D32" s="34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</row>
    <row r="33" spans="1:34" ht="16.5" customHeight="1" x14ac:dyDescent="0.3">
      <c r="A33" s="22">
        <v>46139</v>
      </c>
      <c r="B33" s="23" t="s">
        <v>65</v>
      </c>
      <c r="C33" s="24" t="s">
        <v>61</v>
      </c>
      <c r="D33" s="25">
        <v>8</v>
      </c>
      <c r="E33" s="26">
        <v>6.2</v>
      </c>
      <c r="F33" s="26">
        <v>8</v>
      </c>
      <c r="G33" s="26">
        <v>8</v>
      </c>
      <c r="H33" s="26">
        <v>7.3</v>
      </c>
      <c r="I33" s="26" t="s">
        <v>140</v>
      </c>
      <c r="J33" s="26">
        <v>8</v>
      </c>
      <c r="K33" s="26">
        <v>8</v>
      </c>
      <c r="L33" s="26">
        <v>8</v>
      </c>
      <c r="M33" s="26">
        <v>7.5</v>
      </c>
      <c r="N33" s="26">
        <v>8</v>
      </c>
      <c r="O33" s="26">
        <v>8</v>
      </c>
      <c r="P33" s="26">
        <v>8</v>
      </c>
      <c r="Q33" s="26">
        <v>8</v>
      </c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ht="16.5" customHeight="1" x14ac:dyDescent="0.3">
      <c r="A34" s="27">
        <v>46140</v>
      </c>
      <c r="B34" s="28" t="s">
        <v>66</v>
      </c>
      <c r="C34" s="29" t="s">
        <v>61</v>
      </c>
      <c r="D34" s="30">
        <v>8</v>
      </c>
      <c r="E34" s="31">
        <v>7.5</v>
      </c>
      <c r="F34" s="31">
        <v>8</v>
      </c>
      <c r="G34" s="31">
        <v>8</v>
      </c>
      <c r="H34" s="31">
        <v>8</v>
      </c>
      <c r="I34" s="31">
        <v>8</v>
      </c>
      <c r="J34" s="31">
        <v>8</v>
      </c>
      <c r="K34" s="31">
        <v>8</v>
      </c>
      <c r="L34" s="31">
        <v>8</v>
      </c>
      <c r="M34" s="31" t="s">
        <v>140</v>
      </c>
      <c r="N34" s="31">
        <v>8</v>
      </c>
      <c r="O34" s="31">
        <v>8</v>
      </c>
      <c r="P34" s="31">
        <v>8</v>
      </c>
      <c r="Q34" s="31">
        <v>8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</row>
    <row r="35" spans="1:34" ht="16.5" customHeight="1" x14ac:dyDescent="0.3">
      <c r="A35" s="22">
        <v>46141</v>
      </c>
      <c r="B35" s="23" t="s">
        <v>67</v>
      </c>
      <c r="C35" s="24" t="s">
        <v>61</v>
      </c>
      <c r="D35" s="25">
        <v>8</v>
      </c>
      <c r="E35" s="26">
        <v>7.3</v>
      </c>
      <c r="F35" s="26">
        <v>8</v>
      </c>
      <c r="G35" s="26">
        <v>8</v>
      </c>
      <c r="H35" s="26">
        <v>8.5</v>
      </c>
      <c r="I35" s="26">
        <v>7.5</v>
      </c>
      <c r="J35" s="26">
        <v>8</v>
      </c>
      <c r="K35" s="26">
        <v>8</v>
      </c>
      <c r="L35" s="26">
        <v>8</v>
      </c>
      <c r="M35" s="26">
        <v>8</v>
      </c>
      <c r="N35" s="26">
        <v>8</v>
      </c>
      <c r="O35" s="26">
        <v>8</v>
      </c>
      <c r="P35" s="26">
        <v>8</v>
      </c>
      <c r="Q35" s="26">
        <v>8</v>
      </c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ht="16.5" customHeight="1" x14ac:dyDescent="0.3">
      <c r="A36" s="27">
        <v>46142</v>
      </c>
      <c r="B36" s="28" t="s">
        <v>60</v>
      </c>
      <c r="C36" s="29" t="s">
        <v>61</v>
      </c>
      <c r="D36" s="30">
        <v>8</v>
      </c>
      <c r="E36" s="31">
        <v>8</v>
      </c>
      <c r="F36" s="31">
        <v>8</v>
      </c>
      <c r="G36" s="31">
        <v>8</v>
      </c>
      <c r="H36" s="31">
        <v>8</v>
      </c>
      <c r="I36" s="31">
        <v>7.4</v>
      </c>
      <c r="J36" s="31">
        <v>8</v>
      </c>
      <c r="K36" s="31">
        <v>8</v>
      </c>
      <c r="L36" s="31">
        <v>7.45</v>
      </c>
      <c r="M36" s="31">
        <v>8</v>
      </c>
      <c r="N36" s="31">
        <v>8</v>
      </c>
      <c r="O36" s="31">
        <v>8</v>
      </c>
      <c r="P36" s="31">
        <v>8</v>
      </c>
      <c r="Q36" s="31">
        <v>8</v>
      </c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</row>
    <row r="38" spans="1:34" ht="21.75" customHeight="1" x14ac:dyDescent="0.3">
      <c r="A38" s="60" t="s">
        <v>68</v>
      </c>
      <c r="B38" s="60"/>
      <c r="C38" s="60"/>
      <c r="D38" s="60"/>
      <c r="E38" s="36">
        <f>IF(Setup!B15&lt;&gt;"",SUM(E7:E36),"")</f>
        <v>187.04999999999998</v>
      </c>
      <c r="F38" s="36">
        <f>IF(Setup!B16&lt;&gt;"",SUM(F7:F36),"")</f>
        <v>214.9</v>
      </c>
      <c r="G38" s="36">
        <f>IF(Setup!B17&lt;&gt;"",SUM(G7:G36),"")</f>
        <v>191</v>
      </c>
      <c r="H38" s="36">
        <f>IF(Setup!B18&lt;&gt;"",SUM(H7:H36),"")</f>
        <v>168.68</v>
      </c>
      <c r="I38" s="36">
        <f>IF(Setup!B19&lt;&gt;"",SUM(I7:I36),"")</f>
        <v>190.08</v>
      </c>
      <c r="J38" s="36">
        <f>IF(Setup!B20&lt;&gt;"",SUM(J7:J36),"")</f>
        <v>168</v>
      </c>
      <c r="K38" s="36">
        <f>IF(Setup!B21&lt;&gt;"",SUM(K7:K36),"")</f>
        <v>208</v>
      </c>
      <c r="L38" s="36">
        <f>IF(Setup!B22&lt;&gt;"",SUM(L7:L36),"")</f>
        <v>194.2</v>
      </c>
      <c r="M38" s="36">
        <f>IF(Setup!B23&lt;&gt;"",SUM(M7:M36),"")</f>
        <v>209.47</v>
      </c>
      <c r="N38" s="36">
        <f>IF(Setup!B24&lt;&gt;"",SUM(N7:N36),"")</f>
        <v>208</v>
      </c>
      <c r="O38" s="36">
        <f>IF(Setup!B25&lt;&gt;"",SUM(O7:O36),"")</f>
        <v>208</v>
      </c>
      <c r="P38" s="36">
        <f>IF(Setup!B26&lt;&gt;"",SUM(P7:P36),"")</f>
        <v>208</v>
      </c>
      <c r="Q38" s="36">
        <f>IF(Setup!B27&lt;&gt;"",SUM(Q7:Q36),"")</f>
        <v>208</v>
      </c>
      <c r="R38" s="36">
        <f>IF(Setup!B28&lt;&gt;"",SUM(R7:R36),"")</f>
        <v>0</v>
      </c>
      <c r="S38" s="36" t="str">
        <f>IF(Setup!B29&lt;&gt;"",SUM(S7:S36),"")</f>
        <v/>
      </c>
      <c r="T38" s="36" t="str">
        <f>IF(Setup!B30&lt;&gt;"",SUM(T7:T36),"")</f>
        <v/>
      </c>
      <c r="U38" s="36" t="str">
        <f>IF(Setup!B31&lt;&gt;"",SUM(U7:U36),"")</f>
        <v/>
      </c>
      <c r="V38" s="36" t="str">
        <f>IF(Setup!B32&lt;&gt;"",SUM(V7:V36),"")</f>
        <v/>
      </c>
      <c r="W38" s="36" t="str">
        <f>IF(Setup!B33&lt;&gt;"",SUM(W7:W36),"")</f>
        <v/>
      </c>
      <c r="X38" s="36" t="str">
        <f>IF(Setup!B34&lt;&gt;"",SUM(X7:X36),"")</f>
        <v/>
      </c>
      <c r="Y38" s="36" t="str">
        <f>IF(Setup!B35&lt;&gt;"",SUM(Y7:Y36),"")</f>
        <v/>
      </c>
      <c r="Z38" s="36" t="str">
        <f>IF(Setup!B36&lt;&gt;"",SUM(Z7:Z36),"")</f>
        <v/>
      </c>
      <c r="AA38" s="36" t="str">
        <f>IF(Setup!B37&lt;&gt;"",SUM(AA7:AA36),"")</f>
        <v/>
      </c>
      <c r="AB38" s="36" t="str">
        <f>IF(Setup!B38&lt;&gt;"",SUM(AB7:AB36),"")</f>
        <v/>
      </c>
      <c r="AC38" s="36" t="str">
        <f>IF(Setup!B39&lt;&gt;"",SUM(AC7:AC36),"")</f>
        <v/>
      </c>
      <c r="AD38" s="36" t="str">
        <f>IF(Setup!B40&lt;&gt;"",SUM(AD7:AD36),"")</f>
        <v/>
      </c>
      <c r="AE38" s="36" t="str">
        <f>IF(Setup!B41&lt;&gt;"",SUM(AE7:AE36),"")</f>
        <v/>
      </c>
      <c r="AF38" s="36" t="str">
        <f>IF(Setup!B42&lt;&gt;"",SUM(AF7:AF36),"")</f>
        <v/>
      </c>
      <c r="AG38" s="36" t="str">
        <f>IF(Setup!B43&lt;&gt;"",SUM(AG7:AG36),"")</f>
        <v/>
      </c>
      <c r="AH38" s="36" t="str">
        <f>IF(Setup!B44&lt;&gt;"",SUM(AH7:AH36),"")</f>
        <v/>
      </c>
    </row>
    <row r="39" spans="1:34" ht="19.5" customHeight="1" x14ac:dyDescent="0.3">
      <c r="A39" s="61" t="s">
        <v>69</v>
      </c>
      <c r="B39" s="61"/>
      <c r="C39" s="61"/>
      <c r="D39" s="61"/>
      <c r="E39" s="37">
        <f>IF(Setup!B15&lt;&gt;"",COUNTIFS(C7:C36,"WORK",E7:E36,0),"")</f>
        <v>0</v>
      </c>
      <c r="F39" s="37">
        <f>IF(Setup!B16&lt;&gt;"",COUNTIFS(C7:C36,"WORK",F7:F36,0),"")</f>
        <v>0</v>
      </c>
      <c r="G39" s="37">
        <f>IF(Setup!B17&lt;&gt;"",COUNTIFS(C7:C36,"WORK",G7:G36,0),"")</f>
        <v>0</v>
      </c>
      <c r="H39" s="37">
        <f>IF(Setup!B18&lt;&gt;"",COUNTIFS(C7:C36,"WORK",H7:H36,0),"")</f>
        <v>0</v>
      </c>
      <c r="I39" s="37">
        <f>IF(Setup!B19&lt;&gt;"",COUNTIFS(C7:C36,"WORK",I7:I36,0),"")</f>
        <v>0</v>
      </c>
      <c r="J39" s="37">
        <f>IF(Setup!B20&lt;&gt;"",COUNTIFS(C7:C36,"WORK",J7:J36,0),"")</f>
        <v>0</v>
      </c>
      <c r="K39" s="37">
        <f>IF(Setup!B21&lt;&gt;"",COUNTIFS(C7:C36,"WORK",K7:K36,0),"")</f>
        <v>0</v>
      </c>
      <c r="L39" s="37">
        <f>IF(Setup!B22&lt;&gt;"",COUNTIFS(C7:C36,"WORK",L7:L36,0),"")</f>
        <v>0</v>
      </c>
      <c r="M39" s="37">
        <f>IF(Setup!B23&lt;&gt;"",COUNTIFS(C7:C36,"WORK",M7:M36,0),"")</f>
        <v>0</v>
      </c>
      <c r="N39" s="37">
        <f>IF(Setup!B24&lt;&gt;"",COUNTIFS(C7:C36,"WORK",N7:N36,0),"")</f>
        <v>0</v>
      </c>
      <c r="O39" s="37">
        <f>IF(Setup!B25&lt;&gt;"",COUNTIFS(C7:C36,"WORK",O7:O36,0),"")</f>
        <v>0</v>
      </c>
      <c r="P39" s="37">
        <f>IF(Setup!B26&lt;&gt;"",COUNTIFS(C7:C36,"WORK",P7:P36,0),"")</f>
        <v>0</v>
      </c>
      <c r="Q39" s="37">
        <f>IF(Setup!B27&lt;&gt;"",COUNTIFS(C7:C36,"WORK",Q7:Q36,0),"")</f>
        <v>0</v>
      </c>
      <c r="R39" s="37">
        <f>IF(Setup!B28&lt;&gt;"",COUNTIFS(C7:C36,"WORK",R7:R36,0),"")</f>
        <v>0</v>
      </c>
      <c r="S39" s="37" t="str">
        <f>IF(Setup!B29&lt;&gt;"",COUNTIFS(C7:C36,"WORK",S7:S36,0),"")</f>
        <v/>
      </c>
      <c r="T39" s="37" t="str">
        <f>IF(Setup!B30&lt;&gt;"",COUNTIFS(C7:C36,"WORK",T7:T36,0),"")</f>
        <v/>
      </c>
      <c r="U39" s="37" t="str">
        <f>IF(Setup!B31&lt;&gt;"",COUNTIFS(C7:C36,"WORK",U7:U36,0),"")</f>
        <v/>
      </c>
      <c r="V39" s="37" t="str">
        <f>IF(Setup!B32&lt;&gt;"",COUNTIFS(C7:C36,"WORK",V7:V36,0),"")</f>
        <v/>
      </c>
      <c r="W39" s="37" t="str">
        <f>IF(Setup!B33&lt;&gt;"",COUNTIFS(C7:C36,"WORK",W7:W36,0),"")</f>
        <v/>
      </c>
      <c r="X39" s="37" t="str">
        <f>IF(Setup!B34&lt;&gt;"",COUNTIFS(C7:C36,"WORK",X7:X36,0),"")</f>
        <v/>
      </c>
      <c r="Y39" s="37" t="str">
        <f>IF(Setup!B35&lt;&gt;"",COUNTIFS(C7:C36,"WORK",Y7:Y36,0),"")</f>
        <v/>
      </c>
      <c r="Z39" s="37" t="str">
        <f>IF(Setup!B36&lt;&gt;"",COUNTIFS(C7:C36,"WORK",Z7:Z36,0),"")</f>
        <v/>
      </c>
      <c r="AA39" s="37" t="str">
        <f>IF(Setup!B37&lt;&gt;"",COUNTIFS(C7:C36,"WORK",AA7:AA36,0),"")</f>
        <v/>
      </c>
      <c r="AB39" s="37" t="str">
        <f>IF(Setup!B38&lt;&gt;"",COUNTIFS(C7:C36,"WORK",AB7:AB36,0),"")</f>
        <v/>
      </c>
      <c r="AC39" s="37" t="str">
        <f>IF(Setup!B39&lt;&gt;"",COUNTIFS(C7:C36,"WORK",AC7:AC36,0),"")</f>
        <v/>
      </c>
      <c r="AD39" s="37" t="str">
        <f>IF(Setup!B40&lt;&gt;"",COUNTIFS(C7:C36,"WORK",AD7:AD36,0),"")</f>
        <v/>
      </c>
      <c r="AE39" s="37" t="str">
        <f>IF(Setup!B41&lt;&gt;"",COUNTIFS(C7:C36,"WORK",AE7:AE36,0),"")</f>
        <v/>
      </c>
      <c r="AF39" s="37" t="str">
        <f>IF(Setup!B42&lt;&gt;"",COUNTIFS(C7:C36,"WORK",AF7:AF36,0),"")</f>
        <v/>
      </c>
      <c r="AG39" s="37" t="str">
        <f>IF(Setup!B43&lt;&gt;"",COUNTIFS(C7:C36,"WORK",AG7:AG36,0),"")</f>
        <v/>
      </c>
      <c r="AH39" s="37" t="str">
        <f>IF(Setup!B44&lt;&gt;"",COUNTIFS(C7:C36,"WORK",AH7:AH36,0),"")</f>
        <v/>
      </c>
    </row>
  </sheetData>
  <mergeCells count="3">
    <mergeCell ref="A1:AH1"/>
    <mergeCell ref="A38:D38"/>
    <mergeCell ref="A39:D3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H40"/>
  <sheetViews>
    <sheetView showGridLines="0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L2" sqref="L1:L1048576"/>
    </sheetView>
  </sheetViews>
  <sheetFormatPr defaultColWidth="8.5546875" defaultRowHeight="14.4" x14ac:dyDescent="0.3"/>
  <cols>
    <col min="1" max="1" width="13" customWidth="1"/>
    <col min="2" max="2" width="5" customWidth="1"/>
    <col min="3" max="3" width="7" customWidth="1"/>
    <col min="4" max="4" width="9" customWidth="1"/>
    <col min="5" max="34" width="10" customWidth="1"/>
  </cols>
  <sheetData>
    <row r="1" spans="1:34" ht="31.5" customHeight="1" x14ac:dyDescent="0.3">
      <c r="A1" s="54" t="s">
        <v>76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 ht="19.5" customHeight="1" x14ac:dyDescent="0.3">
      <c r="A2" s="1" t="s">
        <v>53</v>
      </c>
      <c r="B2" s="10" t="s">
        <v>77</v>
      </c>
    </row>
    <row r="3" spans="1:34" ht="19.5" customHeight="1" x14ac:dyDescent="0.3">
      <c r="A3" s="1" t="s">
        <v>55</v>
      </c>
      <c r="B3" s="2">
        <f>Setup!B8</f>
        <v>8</v>
      </c>
    </row>
    <row r="4" spans="1:34" ht="19.5" customHeight="1" x14ac:dyDescent="0.3">
      <c r="A4" s="1" t="s">
        <v>56</v>
      </c>
      <c r="B4" s="10">
        <v>208</v>
      </c>
    </row>
    <row r="6" spans="1:34" ht="31.5" customHeight="1" x14ac:dyDescent="0.3">
      <c r="A6" s="20" t="s">
        <v>4</v>
      </c>
      <c r="B6" s="20" t="s">
        <v>57</v>
      </c>
      <c r="C6" s="20" t="s">
        <v>58</v>
      </c>
      <c r="D6" s="20" t="s">
        <v>59</v>
      </c>
      <c r="E6" s="21" t="str">
        <f>Setup!B15</f>
        <v>Sheraz</v>
      </c>
      <c r="F6" s="21" t="str">
        <f>Setup!B16</f>
        <v>Zain</v>
      </c>
      <c r="G6" s="21" t="str">
        <f>Setup!B17</f>
        <v>Yousaf</v>
      </c>
      <c r="H6" s="21" t="str">
        <f>Setup!B18</f>
        <v>Hamza</v>
      </c>
      <c r="I6" s="21" t="str">
        <f>Setup!B19</f>
        <v>Amjad</v>
      </c>
      <c r="J6" s="21" t="str">
        <f>Setup!B20</f>
        <v>Tanveer</v>
      </c>
      <c r="K6" s="21" t="str">
        <f>Setup!B21</f>
        <v>Ali Zaman</v>
      </c>
      <c r="L6" s="21" t="str">
        <f>Setup!B22</f>
        <v>Awais Ali</v>
      </c>
      <c r="M6" s="21" t="str">
        <f>Setup!B23</f>
        <v>Ishtiaq</v>
      </c>
      <c r="N6" s="21" t="str">
        <f>Setup!B24</f>
        <v>Usama bhai</v>
      </c>
      <c r="O6" s="21" t="str">
        <f>Setup!B25</f>
        <v>Ahtisham</v>
      </c>
      <c r="P6" s="21" t="str">
        <f>Setup!B26</f>
        <v>Factory rent</v>
      </c>
      <c r="Q6" s="21" t="str">
        <f>Setup!B27</f>
        <v>Internet bill</v>
      </c>
      <c r="R6" s="21" t="str">
        <f>Setup!B28</f>
        <v>Saqab</v>
      </c>
      <c r="S6" s="21">
        <f>Setup!B29</f>
        <v>0</v>
      </c>
      <c r="T6" s="21">
        <f>Setup!B30</f>
        <v>0</v>
      </c>
      <c r="U6" s="21">
        <f>Setup!B31</f>
        <v>0</v>
      </c>
      <c r="V6" s="21">
        <f>Setup!B32</f>
        <v>0</v>
      </c>
      <c r="W6" s="21">
        <f>Setup!B33</f>
        <v>0</v>
      </c>
      <c r="X6" s="21">
        <f>Setup!B34</f>
        <v>0</v>
      </c>
      <c r="Y6" s="21">
        <f>Setup!B35</f>
        <v>0</v>
      </c>
      <c r="Z6" s="21">
        <f>Setup!B36</f>
        <v>0</v>
      </c>
      <c r="AA6" s="21">
        <f>Setup!B37</f>
        <v>0</v>
      </c>
      <c r="AB6" s="21">
        <f>Setup!B38</f>
        <v>0</v>
      </c>
      <c r="AC6" s="21">
        <f>Setup!B39</f>
        <v>0</v>
      </c>
      <c r="AD6" s="21">
        <f>Setup!B40</f>
        <v>0</v>
      </c>
      <c r="AE6" s="21">
        <f>Setup!B41</f>
        <v>0</v>
      </c>
      <c r="AF6" s="21">
        <f>Setup!B42</f>
        <v>0</v>
      </c>
      <c r="AG6" s="21">
        <f>Setup!B43</f>
        <v>0</v>
      </c>
      <c r="AH6" s="21">
        <f>Setup!B44</f>
        <v>0</v>
      </c>
    </row>
    <row r="7" spans="1:34" ht="16.5" customHeight="1" x14ac:dyDescent="0.3">
      <c r="A7" s="22">
        <v>46143</v>
      </c>
      <c r="B7" s="23" t="s">
        <v>62</v>
      </c>
      <c r="C7" s="24" t="s">
        <v>61</v>
      </c>
      <c r="D7" s="25">
        <v>8</v>
      </c>
      <c r="E7" s="26">
        <v>8</v>
      </c>
      <c r="F7" s="26">
        <v>8</v>
      </c>
      <c r="G7" s="26">
        <v>8</v>
      </c>
      <c r="H7" s="26">
        <v>8</v>
      </c>
      <c r="I7" s="26">
        <v>8</v>
      </c>
      <c r="J7" s="26">
        <v>8</v>
      </c>
      <c r="K7" s="26">
        <v>8</v>
      </c>
      <c r="L7" s="26">
        <v>8</v>
      </c>
      <c r="M7" s="26">
        <v>8</v>
      </c>
      <c r="N7" s="26">
        <v>8</v>
      </c>
      <c r="O7" s="26"/>
      <c r="P7" s="26">
        <v>8</v>
      </c>
      <c r="Q7" s="26">
        <v>8</v>
      </c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ht="16.5" customHeight="1" x14ac:dyDescent="0.3">
      <c r="A8" s="27">
        <v>46144</v>
      </c>
      <c r="B8" s="28" t="s">
        <v>63</v>
      </c>
      <c r="C8" s="29" t="s">
        <v>61</v>
      </c>
      <c r="D8" s="30">
        <v>8</v>
      </c>
      <c r="E8" s="31">
        <v>8</v>
      </c>
      <c r="F8" s="31">
        <v>8</v>
      </c>
      <c r="G8" s="31">
        <v>8</v>
      </c>
      <c r="H8" s="31">
        <v>8</v>
      </c>
      <c r="I8" s="31">
        <v>7.5</v>
      </c>
      <c r="J8" s="31">
        <v>8</v>
      </c>
      <c r="K8" s="31">
        <v>8</v>
      </c>
      <c r="L8" s="31">
        <v>8</v>
      </c>
      <c r="M8" s="31" t="s">
        <v>140</v>
      </c>
      <c r="N8" s="31">
        <v>8</v>
      </c>
      <c r="O8" s="31"/>
      <c r="P8" s="31">
        <v>8</v>
      </c>
      <c r="Q8" s="31">
        <v>8</v>
      </c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16.5" customHeight="1" x14ac:dyDescent="0.3">
      <c r="A9" s="32">
        <v>46145</v>
      </c>
      <c r="B9" s="33" t="s">
        <v>64</v>
      </c>
      <c r="C9" s="33" t="s">
        <v>64</v>
      </c>
      <c r="D9" s="34">
        <v>0</v>
      </c>
      <c r="E9" s="35">
        <v>8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</row>
    <row r="10" spans="1:34" ht="16.5" customHeight="1" x14ac:dyDescent="0.3">
      <c r="A10" s="27">
        <v>46146</v>
      </c>
      <c r="B10" s="28" t="s">
        <v>65</v>
      </c>
      <c r="C10" s="29" t="s">
        <v>61</v>
      </c>
      <c r="D10" s="30">
        <v>8</v>
      </c>
      <c r="E10" s="31">
        <v>8</v>
      </c>
      <c r="F10" s="31">
        <v>8</v>
      </c>
      <c r="G10" s="31">
        <v>8</v>
      </c>
      <c r="H10" s="31">
        <v>8</v>
      </c>
      <c r="I10" s="31">
        <v>8</v>
      </c>
      <c r="J10" s="31">
        <v>8</v>
      </c>
      <c r="K10" s="31">
        <v>8</v>
      </c>
      <c r="L10" s="31">
        <v>8</v>
      </c>
      <c r="M10" s="31" t="s">
        <v>140</v>
      </c>
      <c r="N10" s="31">
        <v>8</v>
      </c>
      <c r="O10" s="31"/>
      <c r="P10" s="31">
        <v>8</v>
      </c>
      <c r="Q10" s="31">
        <v>8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ht="16.5" customHeight="1" x14ac:dyDescent="0.3">
      <c r="A11" s="22">
        <v>46147</v>
      </c>
      <c r="B11" s="23" t="s">
        <v>66</v>
      </c>
      <c r="C11" s="24" t="s">
        <v>61</v>
      </c>
      <c r="D11" s="25">
        <v>8</v>
      </c>
      <c r="E11" s="26">
        <v>8</v>
      </c>
      <c r="F11" s="26">
        <v>8</v>
      </c>
      <c r="G11" s="26">
        <v>8</v>
      </c>
      <c r="H11" s="26">
        <v>8</v>
      </c>
      <c r="I11" s="26">
        <v>8</v>
      </c>
      <c r="J11" s="26">
        <v>8</v>
      </c>
      <c r="K11" s="26">
        <v>8</v>
      </c>
      <c r="L11" s="26">
        <v>8</v>
      </c>
      <c r="M11" s="26" t="s">
        <v>140</v>
      </c>
      <c r="N11" s="26">
        <v>8</v>
      </c>
      <c r="O11" s="26"/>
      <c r="P11" s="26">
        <v>8</v>
      </c>
      <c r="Q11" s="26">
        <v>8</v>
      </c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ht="16.5" customHeight="1" x14ac:dyDescent="0.3">
      <c r="A12" s="27">
        <v>46148</v>
      </c>
      <c r="B12" s="28" t="s">
        <v>67</v>
      </c>
      <c r="C12" s="29" t="s">
        <v>61</v>
      </c>
      <c r="D12" s="30">
        <v>8</v>
      </c>
      <c r="E12" s="31">
        <v>8</v>
      </c>
      <c r="F12" s="31">
        <v>8</v>
      </c>
      <c r="G12" s="31">
        <v>8</v>
      </c>
      <c r="H12" s="31">
        <v>8</v>
      </c>
      <c r="I12" s="31">
        <v>8</v>
      </c>
      <c r="J12" s="31">
        <v>8</v>
      </c>
      <c r="K12" s="31">
        <v>8</v>
      </c>
      <c r="L12" s="31">
        <v>8</v>
      </c>
      <c r="M12" s="31">
        <v>8</v>
      </c>
      <c r="N12" s="31">
        <v>8</v>
      </c>
      <c r="O12" s="31"/>
      <c r="P12" s="31">
        <v>8</v>
      </c>
      <c r="Q12" s="31">
        <v>8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4" ht="16.5" customHeight="1" x14ac:dyDescent="0.3">
      <c r="A13" s="22">
        <v>46149</v>
      </c>
      <c r="B13" s="23" t="s">
        <v>60</v>
      </c>
      <c r="C13" s="24" t="s">
        <v>61</v>
      </c>
      <c r="D13" s="25">
        <v>8</v>
      </c>
      <c r="E13" s="26">
        <v>7.5</v>
      </c>
      <c r="F13" s="26">
        <v>8</v>
      </c>
      <c r="G13" s="26">
        <v>8</v>
      </c>
      <c r="H13" s="26">
        <v>8</v>
      </c>
      <c r="I13" s="26">
        <v>7.5</v>
      </c>
      <c r="J13" s="26">
        <v>8</v>
      </c>
      <c r="K13" s="26">
        <v>8</v>
      </c>
      <c r="L13" s="26">
        <v>7.5</v>
      </c>
      <c r="M13" s="26">
        <v>8</v>
      </c>
      <c r="N13" s="26">
        <v>8</v>
      </c>
      <c r="O13" s="26"/>
      <c r="P13" s="26">
        <v>8</v>
      </c>
      <c r="Q13" s="26">
        <v>8</v>
      </c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ht="16.5" customHeight="1" x14ac:dyDescent="0.3">
      <c r="A14" s="27">
        <v>46150</v>
      </c>
      <c r="B14" s="28" t="s">
        <v>62</v>
      </c>
      <c r="C14" s="29" t="s">
        <v>61</v>
      </c>
      <c r="D14" s="30">
        <v>8</v>
      </c>
      <c r="E14" s="31">
        <v>7.45</v>
      </c>
      <c r="F14" s="31">
        <v>8</v>
      </c>
      <c r="G14" s="31">
        <v>8</v>
      </c>
      <c r="H14" s="31">
        <v>8</v>
      </c>
      <c r="I14" s="31">
        <v>5</v>
      </c>
      <c r="J14" s="31">
        <v>8</v>
      </c>
      <c r="K14" s="31">
        <v>8</v>
      </c>
      <c r="L14" s="31">
        <v>7.35</v>
      </c>
      <c r="M14" s="31">
        <v>8</v>
      </c>
      <c r="N14" s="31">
        <v>8</v>
      </c>
      <c r="O14" s="31"/>
      <c r="P14" s="31">
        <v>8</v>
      </c>
      <c r="Q14" s="31">
        <v>8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</row>
    <row r="15" spans="1:34" ht="16.5" customHeight="1" x14ac:dyDescent="0.3">
      <c r="A15" s="22">
        <v>46151</v>
      </c>
      <c r="B15" s="23" t="s">
        <v>63</v>
      </c>
      <c r="C15" s="24" t="s">
        <v>61</v>
      </c>
      <c r="D15" s="25">
        <v>8</v>
      </c>
      <c r="E15" s="26">
        <v>7.45</v>
      </c>
      <c r="F15" s="26">
        <v>8</v>
      </c>
      <c r="G15" s="26">
        <v>8</v>
      </c>
      <c r="H15" s="26">
        <v>5</v>
      </c>
      <c r="I15" s="26">
        <v>8</v>
      </c>
      <c r="J15" s="26">
        <v>8</v>
      </c>
      <c r="K15" s="26">
        <v>8</v>
      </c>
      <c r="L15" s="26">
        <v>7.45</v>
      </c>
      <c r="M15" s="26">
        <v>8</v>
      </c>
      <c r="N15" s="26">
        <v>8</v>
      </c>
      <c r="O15" s="26"/>
      <c r="P15" s="26">
        <v>8</v>
      </c>
      <c r="Q15" s="26">
        <v>8</v>
      </c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16.5" customHeight="1" x14ac:dyDescent="0.3">
      <c r="A16" s="32">
        <v>46152</v>
      </c>
      <c r="B16" s="33" t="s">
        <v>64</v>
      </c>
      <c r="C16" s="33" t="s">
        <v>64</v>
      </c>
      <c r="D16" s="34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35">
        <v>0</v>
      </c>
      <c r="Y16" s="35">
        <v>0</v>
      </c>
      <c r="Z16" s="35">
        <v>0</v>
      </c>
      <c r="AA16" s="35">
        <v>0</v>
      </c>
      <c r="AB16" s="35">
        <v>0</v>
      </c>
      <c r="AC16" s="35">
        <v>0</v>
      </c>
      <c r="AD16" s="35">
        <v>0</v>
      </c>
      <c r="AE16" s="35">
        <v>0</v>
      </c>
      <c r="AF16" s="35">
        <v>0</v>
      </c>
      <c r="AG16" s="35">
        <v>0</v>
      </c>
      <c r="AH16" s="35">
        <v>0</v>
      </c>
    </row>
    <row r="17" spans="1:34" ht="16.5" customHeight="1" x14ac:dyDescent="0.3">
      <c r="A17" s="22">
        <v>46153</v>
      </c>
      <c r="B17" s="23" t="s">
        <v>65</v>
      </c>
      <c r="C17" s="24" t="s">
        <v>61</v>
      </c>
      <c r="D17" s="25">
        <v>8</v>
      </c>
      <c r="E17" s="26" t="s">
        <v>140</v>
      </c>
      <c r="F17" s="26">
        <v>8</v>
      </c>
      <c r="G17" s="26">
        <v>8</v>
      </c>
      <c r="H17" s="26">
        <v>8</v>
      </c>
      <c r="I17" s="26">
        <v>7.3</v>
      </c>
      <c r="J17" s="26">
        <v>8</v>
      </c>
      <c r="K17" s="26">
        <v>8</v>
      </c>
      <c r="L17" s="26">
        <v>8</v>
      </c>
      <c r="M17" s="26">
        <v>8</v>
      </c>
      <c r="N17" s="26">
        <v>8</v>
      </c>
      <c r="O17" s="26"/>
      <c r="P17" s="26">
        <v>8</v>
      </c>
      <c r="Q17" s="26">
        <v>8</v>
      </c>
      <c r="R17" s="26">
        <v>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16.5" customHeight="1" x14ac:dyDescent="0.3">
      <c r="A18" s="27">
        <v>46154</v>
      </c>
      <c r="B18" s="28" t="s">
        <v>66</v>
      </c>
      <c r="C18" s="29" t="s">
        <v>61</v>
      </c>
      <c r="D18" s="30">
        <v>8</v>
      </c>
      <c r="E18" s="31">
        <v>8</v>
      </c>
      <c r="F18" s="31">
        <v>8</v>
      </c>
      <c r="G18" s="31">
        <v>8</v>
      </c>
      <c r="H18" s="31">
        <v>8</v>
      </c>
      <c r="I18" s="31" t="s">
        <v>140</v>
      </c>
      <c r="J18" s="31">
        <v>8</v>
      </c>
      <c r="K18" s="31">
        <v>8</v>
      </c>
      <c r="L18" s="31">
        <v>7.5</v>
      </c>
      <c r="M18" s="31">
        <v>7.3</v>
      </c>
      <c r="N18" s="31">
        <v>8</v>
      </c>
      <c r="O18" s="31"/>
      <c r="P18" s="31">
        <v>8</v>
      </c>
      <c r="Q18" s="31">
        <v>8</v>
      </c>
      <c r="R18" s="31">
        <v>8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</row>
    <row r="19" spans="1:34" ht="16.5" customHeight="1" x14ac:dyDescent="0.3">
      <c r="A19" s="22">
        <v>46155</v>
      </c>
      <c r="B19" s="23" t="s">
        <v>67</v>
      </c>
      <c r="C19" s="24" t="s">
        <v>61</v>
      </c>
      <c r="D19" s="25">
        <v>8</v>
      </c>
      <c r="E19" s="26">
        <v>8</v>
      </c>
      <c r="F19" s="26">
        <v>8</v>
      </c>
      <c r="G19" s="26">
        <v>8</v>
      </c>
      <c r="H19" s="26">
        <v>8</v>
      </c>
      <c r="I19" s="26">
        <v>8</v>
      </c>
      <c r="J19" s="26">
        <v>8</v>
      </c>
      <c r="K19" s="26">
        <v>8</v>
      </c>
      <c r="L19" s="26">
        <v>8</v>
      </c>
      <c r="M19" s="26">
        <v>7.5</v>
      </c>
      <c r="N19" s="26">
        <v>8</v>
      </c>
      <c r="O19" s="26"/>
      <c r="P19" s="26">
        <v>8</v>
      </c>
      <c r="Q19" s="26">
        <v>8</v>
      </c>
      <c r="R19" s="26">
        <v>8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16.5" customHeight="1" x14ac:dyDescent="0.3">
      <c r="A20" s="27">
        <v>46156</v>
      </c>
      <c r="B20" s="28" t="s">
        <v>60</v>
      </c>
      <c r="C20" s="29" t="s">
        <v>61</v>
      </c>
      <c r="D20" s="30">
        <v>8</v>
      </c>
      <c r="E20" s="31">
        <v>8</v>
      </c>
      <c r="F20" s="31">
        <v>8</v>
      </c>
      <c r="G20" s="31" t="s">
        <v>140</v>
      </c>
      <c r="H20" s="31">
        <v>8</v>
      </c>
      <c r="I20" s="31">
        <v>8</v>
      </c>
      <c r="J20" s="31">
        <v>8</v>
      </c>
      <c r="K20" s="31">
        <v>8</v>
      </c>
      <c r="L20" s="31">
        <v>8</v>
      </c>
      <c r="M20" s="31" t="s">
        <v>140</v>
      </c>
      <c r="N20" s="31">
        <v>8</v>
      </c>
      <c r="O20" s="31"/>
      <c r="P20" s="31">
        <v>8</v>
      </c>
      <c r="Q20" s="31">
        <v>8</v>
      </c>
      <c r="R20" s="31">
        <v>8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spans="1:34" ht="16.5" customHeight="1" x14ac:dyDescent="0.3">
      <c r="A21" s="22">
        <v>46157</v>
      </c>
      <c r="B21" s="23" t="s">
        <v>62</v>
      </c>
      <c r="C21" s="24" t="s">
        <v>61</v>
      </c>
      <c r="D21" s="25">
        <v>8</v>
      </c>
      <c r="E21" s="26">
        <v>8</v>
      </c>
      <c r="F21" s="26">
        <v>8</v>
      </c>
      <c r="G21" s="26">
        <v>8</v>
      </c>
      <c r="H21" s="26">
        <v>8</v>
      </c>
      <c r="I21" s="26">
        <v>8</v>
      </c>
      <c r="J21" s="26">
        <v>8</v>
      </c>
      <c r="K21" s="26">
        <v>8</v>
      </c>
      <c r="L21" s="26">
        <v>7.5</v>
      </c>
      <c r="M21" s="26">
        <v>8</v>
      </c>
      <c r="N21" s="26">
        <v>8</v>
      </c>
      <c r="O21" s="26"/>
      <c r="P21" s="26">
        <v>8</v>
      </c>
      <c r="Q21" s="26">
        <v>8</v>
      </c>
      <c r="R21" s="26">
        <v>8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16.5" customHeight="1" x14ac:dyDescent="0.3">
      <c r="A22" s="27">
        <v>46158</v>
      </c>
      <c r="B22" s="28" t="s">
        <v>63</v>
      </c>
      <c r="C22" s="29" t="s">
        <v>61</v>
      </c>
      <c r="D22" s="30">
        <v>8</v>
      </c>
      <c r="E22" s="31">
        <v>7</v>
      </c>
      <c r="F22" s="31">
        <v>8</v>
      </c>
      <c r="G22" s="31">
        <v>8</v>
      </c>
      <c r="H22" s="31" t="s">
        <v>140</v>
      </c>
      <c r="I22" s="31">
        <v>7.5</v>
      </c>
      <c r="J22" s="31">
        <v>8</v>
      </c>
      <c r="K22" s="31">
        <v>8</v>
      </c>
      <c r="L22" s="31">
        <v>7.5</v>
      </c>
      <c r="M22" s="31" t="s">
        <v>140</v>
      </c>
      <c r="N22" s="31">
        <v>8</v>
      </c>
      <c r="O22" s="31"/>
      <c r="P22" s="31">
        <v>8</v>
      </c>
      <c r="Q22" s="31">
        <v>8</v>
      </c>
      <c r="R22" s="31">
        <v>8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 spans="1:34" ht="16.5" customHeight="1" x14ac:dyDescent="0.3">
      <c r="A23" s="32">
        <v>46159</v>
      </c>
      <c r="B23" s="33" t="s">
        <v>64</v>
      </c>
      <c r="C23" s="33" t="s">
        <v>64</v>
      </c>
      <c r="D23" s="34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5">
        <v>0</v>
      </c>
      <c r="AC23" s="35">
        <v>0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</row>
    <row r="24" spans="1:34" ht="16.5" customHeight="1" x14ac:dyDescent="0.3">
      <c r="A24" s="27">
        <v>46160</v>
      </c>
      <c r="B24" s="28" t="s">
        <v>65</v>
      </c>
      <c r="C24" s="29" t="s">
        <v>61</v>
      </c>
      <c r="D24" s="30">
        <v>8</v>
      </c>
      <c r="E24" s="31">
        <v>8</v>
      </c>
      <c r="F24" s="31">
        <v>8</v>
      </c>
      <c r="G24" s="31">
        <v>8</v>
      </c>
      <c r="H24" s="31">
        <v>8</v>
      </c>
      <c r="I24" s="31">
        <v>8</v>
      </c>
      <c r="J24" s="31">
        <v>8</v>
      </c>
      <c r="K24" s="31">
        <v>8</v>
      </c>
      <c r="L24" s="31">
        <v>8</v>
      </c>
      <c r="M24" s="31">
        <v>8</v>
      </c>
      <c r="N24" s="31">
        <v>8</v>
      </c>
      <c r="O24" s="31"/>
      <c r="P24" s="31">
        <v>8</v>
      </c>
      <c r="Q24" s="31">
        <v>8</v>
      </c>
      <c r="R24" s="31">
        <v>8</v>
      </c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</row>
    <row r="25" spans="1:34" ht="16.5" customHeight="1" x14ac:dyDescent="0.3">
      <c r="A25" s="22">
        <v>46161</v>
      </c>
      <c r="B25" s="23" t="s">
        <v>66</v>
      </c>
      <c r="C25" s="24" t="s">
        <v>61</v>
      </c>
      <c r="D25" s="25">
        <v>8</v>
      </c>
      <c r="E25" s="26">
        <v>8</v>
      </c>
      <c r="F25" s="26">
        <v>8</v>
      </c>
      <c r="G25" s="26">
        <v>8</v>
      </c>
      <c r="H25" s="26">
        <v>7.45</v>
      </c>
      <c r="I25" s="26">
        <v>8</v>
      </c>
      <c r="J25" s="26">
        <v>8</v>
      </c>
      <c r="K25" s="26">
        <v>8</v>
      </c>
      <c r="L25" s="26">
        <v>8</v>
      </c>
      <c r="M25" s="26">
        <v>7.2</v>
      </c>
      <c r="N25" s="26">
        <v>8</v>
      </c>
      <c r="O25" s="26"/>
      <c r="P25" s="26">
        <v>8</v>
      </c>
      <c r="Q25" s="26">
        <v>8</v>
      </c>
      <c r="R25" s="26">
        <v>8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16.5" customHeight="1" x14ac:dyDescent="0.3">
      <c r="A26" s="27">
        <v>46162</v>
      </c>
      <c r="B26" s="28" t="s">
        <v>67</v>
      </c>
      <c r="C26" s="29" t="s">
        <v>61</v>
      </c>
      <c r="D26" s="30">
        <v>8</v>
      </c>
      <c r="E26" s="31">
        <v>8</v>
      </c>
      <c r="F26" s="31">
        <v>8</v>
      </c>
      <c r="G26" s="31">
        <v>8</v>
      </c>
      <c r="H26" s="31">
        <v>7.2</v>
      </c>
      <c r="I26" s="31">
        <v>8</v>
      </c>
      <c r="J26" s="31">
        <v>8</v>
      </c>
      <c r="K26" s="31">
        <v>8</v>
      </c>
      <c r="L26" s="31">
        <v>7.5</v>
      </c>
      <c r="M26" s="31">
        <v>7.5</v>
      </c>
      <c r="N26" s="31">
        <v>8</v>
      </c>
      <c r="O26" s="31"/>
      <c r="P26" s="31">
        <v>8</v>
      </c>
      <c r="Q26" s="31">
        <v>8</v>
      </c>
      <c r="R26" s="31">
        <v>7.3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 spans="1:34" ht="16.5" customHeight="1" x14ac:dyDescent="0.3">
      <c r="A27" s="22">
        <v>46163</v>
      </c>
      <c r="B27" s="23" t="s">
        <v>60</v>
      </c>
      <c r="C27" s="24" t="s">
        <v>61</v>
      </c>
      <c r="D27" s="25">
        <v>8</v>
      </c>
      <c r="E27" s="26">
        <v>7.4</v>
      </c>
      <c r="F27" s="26">
        <v>8</v>
      </c>
      <c r="G27" s="26">
        <v>8</v>
      </c>
      <c r="H27" s="26">
        <v>7.5</v>
      </c>
      <c r="I27" s="26">
        <v>7.45</v>
      </c>
      <c r="J27" s="26">
        <v>8</v>
      </c>
      <c r="K27" s="26">
        <v>8</v>
      </c>
      <c r="L27" s="26">
        <v>8</v>
      </c>
      <c r="M27" s="26">
        <v>7.4</v>
      </c>
      <c r="N27" s="26">
        <v>8</v>
      </c>
      <c r="O27" s="26"/>
      <c r="P27" s="26">
        <v>8</v>
      </c>
      <c r="Q27" s="26">
        <v>8</v>
      </c>
      <c r="R27" s="26">
        <v>8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16.5" customHeight="1" x14ac:dyDescent="0.3">
      <c r="A28" s="27">
        <v>46164</v>
      </c>
      <c r="B28" s="28" t="s">
        <v>62</v>
      </c>
      <c r="C28" s="29" t="s">
        <v>61</v>
      </c>
      <c r="D28" s="30">
        <v>8</v>
      </c>
      <c r="E28" s="31">
        <v>8</v>
      </c>
      <c r="F28" s="31">
        <v>8</v>
      </c>
      <c r="G28" s="31">
        <v>8.3000000000000007</v>
      </c>
      <c r="H28" s="31">
        <v>7</v>
      </c>
      <c r="I28" s="31">
        <v>7.45</v>
      </c>
      <c r="J28" s="31">
        <v>8</v>
      </c>
      <c r="K28" s="31">
        <v>8</v>
      </c>
      <c r="L28" s="31">
        <v>8.3000000000000007</v>
      </c>
      <c r="M28" s="31">
        <v>8</v>
      </c>
      <c r="N28" s="31">
        <v>8</v>
      </c>
      <c r="O28" s="31"/>
      <c r="P28" s="31">
        <v>8</v>
      </c>
      <c r="Q28" s="31">
        <v>8</v>
      </c>
      <c r="R28" s="31">
        <v>7.45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</row>
    <row r="29" spans="1:34" ht="16.5" customHeight="1" x14ac:dyDescent="0.3">
      <c r="A29" s="22">
        <v>46165</v>
      </c>
      <c r="B29" s="23" t="s">
        <v>63</v>
      </c>
      <c r="C29" s="24" t="s">
        <v>61</v>
      </c>
      <c r="D29" s="25">
        <v>8</v>
      </c>
      <c r="E29" s="26">
        <v>7.45</v>
      </c>
      <c r="F29" s="26">
        <v>8</v>
      </c>
      <c r="G29" s="26">
        <v>8</v>
      </c>
      <c r="H29" s="26">
        <v>7.45</v>
      </c>
      <c r="I29" s="26">
        <v>7.45</v>
      </c>
      <c r="J29" s="26">
        <v>8</v>
      </c>
      <c r="K29" s="26">
        <v>8</v>
      </c>
      <c r="L29" s="26">
        <v>8</v>
      </c>
      <c r="M29" s="26">
        <v>8</v>
      </c>
      <c r="N29" s="26">
        <v>8</v>
      </c>
      <c r="O29" s="26"/>
      <c r="P29" s="26">
        <v>8</v>
      </c>
      <c r="Q29" s="26">
        <v>8</v>
      </c>
      <c r="R29" s="26">
        <v>8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ht="16.5" customHeight="1" x14ac:dyDescent="0.3">
      <c r="A30" s="32">
        <v>46166</v>
      </c>
      <c r="B30" s="33" t="s">
        <v>64</v>
      </c>
      <c r="C30" s="33" t="s">
        <v>64</v>
      </c>
      <c r="D30" s="34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</row>
    <row r="31" spans="1:34" ht="16.5" customHeight="1" x14ac:dyDescent="0.3">
      <c r="A31" s="22">
        <v>46167</v>
      </c>
      <c r="B31" s="23" t="s">
        <v>65</v>
      </c>
      <c r="C31" s="24" t="s">
        <v>61</v>
      </c>
      <c r="D31" s="25">
        <v>8</v>
      </c>
      <c r="E31" s="26">
        <v>7.4</v>
      </c>
      <c r="F31" s="26">
        <v>8</v>
      </c>
      <c r="G31" s="26">
        <v>8</v>
      </c>
      <c r="H31" s="26">
        <v>7.45</v>
      </c>
      <c r="I31" s="26">
        <v>4.4000000000000004</v>
      </c>
      <c r="J31" s="26">
        <v>8</v>
      </c>
      <c r="K31" s="26">
        <v>8</v>
      </c>
      <c r="L31" s="26">
        <v>8</v>
      </c>
      <c r="M31" s="26" t="s">
        <v>140</v>
      </c>
      <c r="N31" s="26">
        <v>8</v>
      </c>
      <c r="O31" s="26"/>
      <c r="P31" s="26">
        <v>8</v>
      </c>
      <c r="Q31" s="26">
        <v>8</v>
      </c>
      <c r="R31" s="26">
        <v>8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34" ht="16.5" customHeight="1" x14ac:dyDescent="0.3">
      <c r="A32" s="27">
        <v>46168</v>
      </c>
      <c r="B32" s="28" t="s">
        <v>66</v>
      </c>
      <c r="C32" s="29" t="s">
        <v>61</v>
      </c>
      <c r="D32" s="30">
        <v>8</v>
      </c>
      <c r="E32" s="31">
        <v>5</v>
      </c>
      <c r="F32" s="31">
        <v>8</v>
      </c>
      <c r="G32" s="31">
        <v>8</v>
      </c>
      <c r="H32" s="31">
        <v>5</v>
      </c>
      <c r="I32" s="31" t="s">
        <v>140</v>
      </c>
      <c r="J32" s="31">
        <v>8</v>
      </c>
      <c r="K32" s="31">
        <v>8</v>
      </c>
      <c r="L32" s="31">
        <v>5</v>
      </c>
      <c r="M32" s="31" t="s">
        <v>140</v>
      </c>
      <c r="N32" s="31">
        <v>8</v>
      </c>
      <c r="O32" s="31"/>
      <c r="P32" s="31">
        <v>8</v>
      </c>
      <c r="Q32" s="31">
        <v>8</v>
      </c>
      <c r="R32" s="31">
        <v>8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</row>
    <row r="33" spans="1:34" ht="16.5" customHeight="1" x14ac:dyDescent="0.3">
      <c r="A33" s="22">
        <v>46169</v>
      </c>
      <c r="B33" s="23" t="s">
        <v>67</v>
      </c>
      <c r="C33" s="24" t="s">
        <v>61</v>
      </c>
      <c r="D33" s="25">
        <v>8</v>
      </c>
      <c r="E33" s="26">
        <v>8</v>
      </c>
      <c r="F33" s="26">
        <v>8</v>
      </c>
      <c r="G33" s="26">
        <v>8</v>
      </c>
      <c r="H33" s="26">
        <v>8</v>
      </c>
      <c r="I33" s="26">
        <v>8</v>
      </c>
      <c r="J33" s="26">
        <v>8</v>
      </c>
      <c r="K33" s="26">
        <v>8</v>
      </c>
      <c r="L33" s="26">
        <v>8</v>
      </c>
      <c r="M33" s="26">
        <v>8</v>
      </c>
      <c r="N33" s="26">
        <v>8</v>
      </c>
      <c r="O33" s="26"/>
      <c r="P33" s="26">
        <v>8</v>
      </c>
      <c r="Q33" s="26">
        <v>8</v>
      </c>
      <c r="R33" s="26">
        <v>8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ht="16.5" customHeight="1" x14ac:dyDescent="0.3">
      <c r="A34" s="27">
        <v>46170</v>
      </c>
      <c r="B34" s="28" t="s">
        <v>60</v>
      </c>
      <c r="C34" s="29" t="s">
        <v>61</v>
      </c>
      <c r="D34" s="30">
        <v>8</v>
      </c>
      <c r="E34" s="31">
        <v>8</v>
      </c>
      <c r="F34" s="31">
        <v>8</v>
      </c>
      <c r="G34" s="31">
        <v>8</v>
      </c>
      <c r="H34" s="31">
        <v>8</v>
      </c>
      <c r="I34" s="31">
        <v>8</v>
      </c>
      <c r="J34" s="31">
        <v>8</v>
      </c>
      <c r="K34" s="31">
        <v>8</v>
      </c>
      <c r="L34" s="31">
        <v>8</v>
      </c>
      <c r="M34" s="31">
        <v>8</v>
      </c>
      <c r="N34" s="31">
        <v>8</v>
      </c>
      <c r="O34" s="31"/>
      <c r="P34" s="31">
        <v>8</v>
      </c>
      <c r="Q34" s="31">
        <v>8</v>
      </c>
      <c r="R34" s="31">
        <v>8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</row>
    <row r="35" spans="1:34" ht="16.5" customHeight="1" x14ac:dyDescent="0.3">
      <c r="A35" s="22">
        <v>46171</v>
      </c>
      <c r="B35" s="23" t="s">
        <v>62</v>
      </c>
      <c r="C35" s="24" t="s">
        <v>61</v>
      </c>
      <c r="D35" s="25">
        <v>8</v>
      </c>
      <c r="E35" s="26">
        <v>8</v>
      </c>
      <c r="F35" s="26">
        <v>8</v>
      </c>
      <c r="G35" s="26">
        <v>8</v>
      </c>
      <c r="H35" s="26">
        <v>8</v>
      </c>
      <c r="I35" s="26">
        <v>8</v>
      </c>
      <c r="J35" s="26">
        <v>8</v>
      </c>
      <c r="K35" s="26">
        <v>8</v>
      </c>
      <c r="L35" s="26">
        <v>8</v>
      </c>
      <c r="M35" s="26">
        <v>8</v>
      </c>
      <c r="N35" s="26">
        <v>8</v>
      </c>
      <c r="O35" s="26"/>
      <c r="P35" s="26">
        <v>8</v>
      </c>
      <c r="Q35" s="26">
        <v>8</v>
      </c>
      <c r="R35" s="26">
        <v>8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ht="16.5" customHeight="1" x14ac:dyDescent="0.3">
      <c r="A36" s="27">
        <v>46172</v>
      </c>
      <c r="B36" s="28" t="s">
        <v>63</v>
      </c>
      <c r="C36" s="29" t="s">
        <v>61</v>
      </c>
      <c r="D36" s="30">
        <v>8</v>
      </c>
      <c r="E36" s="31" t="s">
        <v>140</v>
      </c>
      <c r="F36" s="31">
        <v>8</v>
      </c>
      <c r="G36" s="31" t="s">
        <v>140</v>
      </c>
      <c r="H36" s="31" t="s">
        <v>140</v>
      </c>
      <c r="I36" s="31" t="s">
        <v>140</v>
      </c>
      <c r="J36" s="31">
        <v>8</v>
      </c>
      <c r="K36" s="31">
        <v>8</v>
      </c>
      <c r="L36" s="31" t="s">
        <v>140</v>
      </c>
      <c r="M36" s="31" t="s">
        <v>140</v>
      </c>
      <c r="N36" s="31">
        <v>8</v>
      </c>
      <c r="O36" s="31"/>
      <c r="P36" s="31">
        <v>8</v>
      </c>
      <c r="Q36" s="31">
        <v>8</v>
      </c>
      <c r="R36" s="31" t="s">
        <v>140</v>
      </c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</row>
    <row r="37" spans="1:34" ht="16.5" customHeight="1" x14ac:dyDescent="0.3">
      <c r="A37" s="32">
        <v>46173</v>
      </c>
      <c r="B37" s="33" t="s">
        <v>64</v>
      </c>
      <c r="C37" s="33" t="s">
        <v>64</v>
      </c>
      <c r="D37" s="34">
        <v>0</v>
      </c>
      <c r="E37" s="35">
        <v>0</v>
      </c>
      <c r="F37" s="35">
        <v>0</v>
      </c>
      <c r="G37" s="35">
        <v>0</v>
      </c>
      <c r="H37" s="35"/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</row>
    <row r="39" spans="1:34" ht="21.75" customHeight="1" x14ac:dyDescent="0.3">
      <c r="A39" s="60" t="s">
        <v>68</v>
      </c>
      <c r="B39" s="60"/>
      <c r="C39" s="60"/>
      <c r="D39" s="60"/>
      <c r="E39" s="36">
        <f>IF(Setup!B15&lt;&gt;"",SUM(E7:E37),"")</f>
        <v>192.65</v>
      </c>
      <c r="F39" s="36">
        <f>IF(Setup!B16&lt;&gt;"",SUM(F7:F37),"")</f>
        <v>208</v>
      </c>
      <c r="G39" s="36">
        <f>IF(Setup!B17&lt;&gt;"",SUM(G7:G37),"")</f>
        <v>192.3</v>
      </c>
      <c r="H39" s="36">
        <f>IF(Setup!B18&lt;&gt;"",SUM(H7:H37),"")</f>
        <v>182.04999999999998</v>
      </c>
      <c r="I39" s="36">
        <f>IF(Setup!B19&lt;&gt;"",SUM(I7:I37),"")</f>
        <v>173.54999999999998</v>
      </c>
      <c r="J39" s="36">
        <f>IF(Setup!B20&lt;&gt;"",SUM(J7:J37),"")</f>
        <v>208</v>
      </c>
      <c r="K39" s="36">
        <f>IF(Setup!B21&lt;&gt;"",SUM(K7:K37),"")</f>
        <v>208</v>
      </c>
      <c r="L39" s="36">
        <f>IF(Setup!B22&lt;&gt;"",SUM(L7:L37),"")</f>
        <v>193.60000000000002</v>
      </c>
      <c r="M39" s="36">
        <f>IF(Setup!B23&lt;&gt;"",SUM(M7:M37),"")</f>
        <v>140.9</v>
      </c>
      <c r="N39" s="36">
        <f>IF(Setup!B24&lt;&gt;"",SUM(N7:N37),"")</f>
        <v>208</v>
      </c>
      <c r="O39" s="36">
        <f>IF(Setup!B25&lt;&gt;"",SUM(O7:O37),"")</f>
        <v>0</v>
      </c>
      <c r="P39" s="36">
        <f>IF(Setup!B26&lt;&gt;"",SUM(P7:P37),"")</f>
        <v>208</v>
      </c>
      <c r="Q39" s="36">
        <f>IF(Setup!B27&lt;&gt;"",SUM(Q7:Q37),"")</f>
        <v>208</v>
      </c>
      <c r="R39" s="36">
        <f>IF(Setup!B28&lt;&gt;"",SUM(R7:R37),"")</f>
        <v>134.75</v>
      </c>
      <c r="S39" s="36" t="str">
        <f>IF(Setup!B29&lt;&gt;"",SUM(S7:S37),"")</f>
        <v/>
      </c>
      <c r="T39" s="36" t="str">
        <f>IF(Setup!B30&lt;&gt;"",SUM(T7:T37),"")</f>
        <v/>
      </c>
      <c r="U39" s="36" t="str">
        <f>IF(Setup!B31&lt;&gt;"",SUM(U7:U37),"")</f>
        <v/>
      </c>
      <c r="V39" s="36" t="str">
        <f>IF(Setup!B32&lt;&gt;"",SUM(V7:V37),"")</f>
        <v/>
      </c>
      <c r="W39" s="36" t="str">
        <f>IF(Setup!B33&lt;&gt;"",SUM(W7:W37),"")</f>
        <v/>
      </c>
      <c r="X39" s="36" t="str">
        <f>IF(Setup!B34&lt;&gt;"",SUM(X7:X37),"")</f>
        <v/>
      </c>
      <c r="Y39" s="36" t="str">
        <f>IF(Setup!B35&lt;&gt;"",SUM(Y7:Y37),"")</f>
        <v/>
      </c>
      <c r="Z39" s="36" t="str">
        <f>IF(Setup!B36&lt;&gt;"",SUM(Z7:Z37),"")</f>
        <v/>
      </c>
      <c r="AA39" s="36" t="str">
        <f>IF(Setup!B37&lt;&gt;"",SUM(AA7:AA37),"")</f>
        <v/>
      </c>
      <c r="AB39" s="36" t="str">
        <f>IF(Setup!B38&lt;&gt;"",SUM(AB7:AB37),"")</f>
        <v/>
      </c>
      <c r="AC39" s="36" t="str">
        <f>IF(Setup!B39&lt;&gt;"",SUM(AC7:AC37),"")</f>
        <v/>
      </c>
      <c r="AD39" s="36" t="str">
        <f>IF(Setup!B40&lt;&gt;"",SUM(AD7:AD37),"")</f>
        <v/>
      </c>
      <c r="AE39" s="36" t="str">
        <f>IF(Setup!B41&lt;&gt;"",SUM(AE7:AE37),"")</f>
        <v/>
      </c>
      <c r="AF39" s="36" t="str">
        <f>IF(Setup!B42&lt;&gt;"",SUM(AF7:AF37),"")</f>
        <v/>
      </c>
      <c r="AG39" s="36" t="str">
        <f>IF(Setup!B43&lt;&gt;"",SUM(AG7:AG37),"")</f>
        <v/>
      </c>
      <c r="AH39" s="36" t="str">
        <f>IF(Setup!B44&lt;&gt;"",SUM(AH7:AH37),"")</f>
        <v/>
      </c>
    </row>
    <row r="40" spans="1:34" ht="19.5" customHeight="1" x14ac:dyDescent="0.3">
      <c r="A40" s="61" t="s">
        <v>69</v>
      </c>
      <c r="B40" s="61"/>
      <c r="C40" s="61"/>
      <c r="D40" s="61"/>
      <c r="E40" s="37">
        <f>IF(Setup!B15&lt;&gt;"",COUNTIFS(C7:C37,"WORK",E7:E37,0),"")</f>
        <v>0</v>
      </c>
      <c r="F40" s="37">
        <f>IF(Setup!B16&lt;&gt;"",COUNTIFS(C7:C37,"WORK",F7:F37,0),"")</f>
        <v>0</v>
      </c>
      <c r="G40" s="37">
        <f>IF(Setup!B17&lt;&gt;"",COUNTIFS(C7:C37,"WORK",G7:G37,0),"")</f>
        <v>0</v>
      </c>
      <c r="H40" s="37">
        <f>IF(Setup!B18&lt;&gt;"",COUNTIFS(C7:C37,"WORK",H7:H37,0),"")</f>
        <v>0</v>
      </c>
      <c r="I40" s="37">
        <f>IF(Setup!B19&lt;&gt;"",COUNTIFS(C7:C37,"WORK",I7:I37,0),"")</f>
        <v>0</v>
      </c>
      <c r="J40" s="37">
        <f>IF(Setup!B20&lt;&gt;"",COUNTIFS(C7:C37,"WORK",J7:J37,0),"")</f>
        <v>0</v>
      </c>
      <c r="K40" s="37">
        <f>IF(Setup!B21&lt;&gt;"",COUNTIFS(C7:C37,"WORK",K7:K37,0),"")</f>
        <v>0</v>
      </c>
      <c r="L40" s="37">
        <f>IF(Setup!B22&lt;&gt;"",COUNTIFS(C7:C37,"WORK",L7:L37,0),"")</f>
        <v>0</v>
      </c>
      <c r="M40" s="37">
        <f>IF(Setup!B23&lt;&gt;"",COUNTIFS(C7:C37,"WORK",M7:M37,0),"")</f>
        <v>0</v>
      </c>
      <c r="N40" s="37">
        <f>IF(Setup!B24&lt;&gt;"",COUNTIFS(C7:C37,"WORK",N7:N37,0),"")</f>
        <v>0</v>
      </c>
      <c r="O40" s="37">
        <f>IF(Setup!B25&lt;&gt;"",COUNTIFS(C7:C37,"WORK",O7:O37,0),"")</f>
        <v>0</v>
      </c>
      <c r="P40" s="37">
        <f>IF(Setup!B26&lt;&gt;"",COUNTIFS(C7:C37,"WORK",P7:P37,0),"")</f>
        <v>0</v>
      </c>
      <c r="Q40" s="37">
        <f>IF(Setup!B27&lt;&gt;"",COUNTIFS(C7:C37,"WORK",Q7:Q37,0),"")</f>
        <v>0</v>
      </c>
      <c r="R40" s="37">
        <f>IF(Setup!B28&lt;&gt;"",COUNTIFS(C7:C37,"WORK",R7:R37,0),"")</f>
        <v>0</v>
      </c>
      <c r="S40" s="37" t="str">
        <f>IF(Setup!B29&lt;&gt;"",COUNTIFS(C7:C37,"WORK",S7:S37,0),"")</f>
        <v/>
      </c>
      <c r="T40" s="37" t="str">
        <f>IF(Setup!B30&lt;&gt;"",COUNTIFS(C7:C37,"WORK",T7:T37,0),"")</f>
        <v/>
      </c>
      <c r="U40" s="37" t="str">
        <f>IF(Setup!B31&lt;&gt;"",COUNTIFS(C7:C37,"WORK",U7:U37,0),"")</f>
        <v/>
      </c>
      <c r="V40" s="37" t="str">
        <f>IF(Setup!B32&lt;&gt;"",COUNTIFS(C7:C37,"WORK",V7:V37,0),"")</f>
        <v/>
      </c>
      <c r="W40" s="37" t="str">
        <f>IF(Setup!B33&lt;&gt;"",COUNTIFS(C7:C37,"WORK",W7:W37,0),"")</f>
        <v/>
      </c>
      <c r="X40" s="37" t="str">
        <f>IF(Setup!B34&lt;&gt;"",COUNTIFS(C7:C37,"WORK",X7:X37,0),"")</f>
        <v/>
      </c>
      <c r="Y40" s="37" t="str">
        <f>IF(Setup!B35&lt;&gt;"",COUNTIFS(C7:C37,"WORK",Y7:Y37,0),"")</f>
        <v/>
      </c>
      <c r="Z40" s="37" t="str">
        <f>IF(Setup!B36&lt;&gt;"",COUNTIFS(C7:C37,"WORK",Z7:Z37,0),"")</f>
        <v/>
      </c>
      <c r="AA40" s="37" t="str">
        <f>IF(Setup!B37&lt;&gt;"",COUNTIFS(C7:C37,"WORK",AA7:AA37,0),"")</f>
        <v/>
      </c>
      <c r="AB40" s="37" t="str">
        <f>IF(Setup!B38&lt;&gt;"",COUNTIFS(C7:C37,"WORK",AB7:AB37,0),"")</f>
        <v/>
      </c>
      <c r="AC40" s="37" t="str">
        <f>IF(Setup!B39&lt;&gt;"",COUNTIFS(C7:C37,"WORK",AC7:AC37,0),"")</f>
        <v/>
      </c>
      <c r="AD40" s="37" t="str">
        <f>IF(Setup!B40&lt;&gt;"",COUNTIFS(C7:C37,"WORK",AD7:AD37,0),"")</f>
        <v/>
      </c>
      <c r="AE40" s="37" t="str">
        <f>IF(Setup!B41&lt;&gt;"",COUNTIFS(C7:C37,"WORK",AE7:AE37,0),"")</f>
        <v/>
      </c>
      <c r="AF40" s="37" t="str">
        <f>IF(Setup!B42&lt;&gt;"",COUNTIFS(C7:C37,"WORK",AF7:AF37,0),"")</f>
        <v/>
      </c>
      <c r="AG40" s="37" t="str">
        <f>IF(Setup!B43&lt;&gt;"",COUNTIFS(C7:C37,"WORK",AG7:AG37,0),"")</f>
        <v/>
      </c>
      <c r="AH40" s="37" t="str">
        <f>IF(Setup!B44&lt;&gt;"",COUNTIFS(C7:C37,"WORK",AH7:AH37,0),"")</f>
        <v/>
      </c>
    </row>
  </sheetData>
  <mergeCells count="3">
    <mergeCell ref="A1:AH1"/>
    <mergeCell ref="A39:D39"/>
    <mergeCell ref="A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H39"/>
  <sheetViews>
    <sheetView showGridLines="0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A21" sqref="A21:XFD21"/>
    </sheetView>
  </sheetViews>
  <sheetFormatPr defaultColWidth="8.5546875" defaultRowHeight="14.4" x14ac:dyDescent="0.3"/>
  <cols>
    <col min="1" max="1" width="13" customWidth="1"/>
    <col min="2" max="2" width="5" customWidth="1"/>
    <col min="3" max="3" width="7" customWidth="1"/>
    <col min="4" max="4" width="9" customWidth="1"/>
    <col min="5" max="34" width="10" customWidth="1"/>
  </cols>
  <sheetData>
    <row r="1" spans="1:34" ht="31.5" customHeight="1" x14ac:dyDescent="0.3">
      <c r="A1" s="54" t="s">
        <v>78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 ht="19.5" customHeight="1" x14ac:dyDescent="0.3">
      <c r="A2" s="1" t="s">
        <v>53</v>
      </c>
      <c r="B2" s="10" t="s">
        <v>79</v>
      </c>
    </row>
    <row r="3" spans="1:34" ht="19.5" customHeight="1" x14ac:dyDescent="0.3">
      <c r="A3" s="1" t="s">
        <v>55</v>
      </c>
      <c r="B3" s="2">
        <f>Setup!B8</f>
        <v>8</v>
      </c>
    </row>
    <row r="4" spans="1:34" ht="19.5" customHeight="1" x14ac:dyDescent="0.3">
      <c r="A4" s="1" t="s">
        <v>56</v>
      </c>
      <c r="B4" s="10">
        <v>208</v>
      </c>
    </row>
    <row r="6" spans="1:34" ht="31.5" customHeight="1" x14ac:dyDescent="0.3">
      <c r="A6" s="20" t="s">
        <v>4</v>
      </c>
      <c r="B6" s="20" t="s">
        <v>57</v>
      </c>
      <c r="C6" s="20" t="s">
        <v>58</v>
      </c>
      <c r="D6" s="20" t="s">
        <v>59</v>
      </c>
      <c r="E6" s="21" t="str">
        <f>Setup!B15</f>
        <v>Sheraz</v>
      </c>
      <c r="F6" s="21" t="str">
        <f>Setup!B16</f>
        <v>Zain</v>
      </c>
      <c r="G6" s="21" t="str">
        <f>Setup!B17</f>
        <v>Yousaf</v>
      </c>
      <c r="H6" s="21" t="str">
        <f>Setup!B18</f>
        <v>Hamza</v>
      </c>
      <c r="I6" s="21" t="str">
        <f>Setup!B19</f>
        <v>Amjad</v>
      </c>
      <c r="J6" s="21" t="str">
        <f>Setup!B20</f>
        <v>Tanveer</v>
      </c>
      <c r="K6" s="21" t="str">
        <f>Setup!B21</f>
        <v>Ali Zaman</v>
      </c>
      <c r="L6" s="21" t="str">
        <f>Setup!B22</f>
        <v>Awais Ali</v>
      </c>
      <c r="M6" s="21" t="str">
        <f>Setup!B23</f>
        <v>Ishtiaq</v>
      </c>
      <c r="N6" s="21" t="str">
        <f>Setup!B24</f>
        <v>Usama bhai</v>
      </c>
      <c r="O6" s="21" t="str">
        <f>Setup!B25</f>
        <v>Ahtisham</v>
      </c>
      <c r="P6" s="21" t="str">
        <f>Setup!B26</f>
        <v>Factory rent</v>
      </c>
      <c r="Q6" s="21" t="str">
        <f>Setup!B27</f>
        <v>Internet bill</v>
      </c>
      <c r="R6" s="21" t="str">
        <f>Setup!B28</f>
        <v>Saqab</v>
      </c>
      <c r="S6" s="21">
        <f>Setup!B29</f>
        <v>0</v>
      </c>
      <c r="T6" s="21">
        <f>Setup!B30</f>
        <v>0</v>
      </c>
      <c r="U6" s="21">
        <f>Setup!B31</f>
        <v>0</v>
      </c>
      <c r="V6" s="21">
        <f>Setup!B32</f>
        <v>0</v>
      </c>
      <c r="W6" s="21">
        <f>Setup!B33</f>
        <v>0</v>
      </c>
      <c r="X6" s="21">
        <f>Setup!B34</f>
        <v>0</v>
      </c>
      <c r="Y6" s="21">
        <f>Setup!B35</f>
        <v>0</v>
      </c>
      <c r="Z6" s="21">
        <f>Setup!B36</f>
        <v>0</v>
      </c>
      <c r="AA6" s="21">
        <f>Setup!B37</f>
        <v>0</v>
      </c>
      <c r="AB6" s="21">
        <f>Setup!B38</f>
        <v>0</v>
      </c>
      <c r="AC6" s="21">
        <f>Setup!B39</f>
        <v>0</v>
      </c>
      <c r="AD6" s="21">
        <f>Setup!B40</f>
        <v>0</v>
      </c>
      <c r="AE6" s="21">
        <f>Setup!B41</f>
        <v>0</v>
      </c>
      <c r="AF6" s="21">
        <f>Setup!B42</f>
        <v>0</v>
      </c>
      <c r="AG6" s="21">
        <f>Setup!B43</f>
        <v>0</v>
      </c>
      <c r="AH6" s="21">
        <f>Setup!B44</f>
        <v>0</v>
      </c>
    </row>
    <row r="7" spans="1:34" ht="16.5" customHeight="1" x14ac:dyDescent="0.3">
      <c r="A7" s="22">
        <v>46174</v>
      </c>
      <c r="B7" s="23" t="s">
        <v>65</v>
      </c>
      <c r="C7" s="24" t="s">
        <v>61</v>
      </c>
      <c r="D7" s="25">
        <v>8</v>
      </c>
      <c r="E7" s="26" t="s">
        <v>140</v>
      </c>
      <c r="F7" s="26">
        <v>7.3</v>
      </c>
      <c r="G7" s="26">
        <v>7.3</v>
      </c>
      <c r="H7" s="26">
        <v>4</v>
      </c>
      <c r="I7" s="26">
        <v>8</v>
      </c>
      <c r="J7" s="26">
        <v>8</v>
      </c>
      <c r="K7" s="26">
        <v>8</v>
      </c>
      <c r="L7" s="26" t="s">
        <v>140</v>
      </c>
      <c r="M7" s="26">
        <v>4</v>
      </c>
      <c r="N7" s="26">
        <v>8</v>
      </c>
      <c r="O7" s="26"/>
      <c r="P7" s="26">
        <v>8</v>
      </c>
      <c r="Q7" s="26">
        <v>8</v>
      </c>
      <c r="R7" s="26">
        <v>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ht="16.5" customHeight="1" x14ac:dyDescent="0.3">
      <c r="A8" s="27">
        <v>46175</v>
      </c>
      <c r="B8" s="28" t="s">
        <v>66</v>
      </c>
      <c r="C8" s="29" t="s">
        <v>61</v>
      </c>
      <c r="D8" s="30">
        <v>8</v>
      </c>
      <c r="E8" s="31">
        <v>8</v>
      </c>
      <c r="F8" s="31">
        <v>8</v>
      </c>
      <c r="G8" s="31">
        <v>8</v>
      </c>
      <c r="H8" s="31">
        <v>8</v>
      </c>
      <c r="I8" s="31">
        <v>7.45</v>
      </c>
      <c r="J8" s="31">
        <v>8</v>
      </c>
      <c r="K8" s="31">
        <v>8</v>
      </c>
      <c r="L8" s="31" t="s">
        <v>140</v>
      </c>
      <c r="M8" s="31">
        <v>4</v>
      </c>
      <c r="N8" s="31">
        <v>8</v>
      </c>
      <c r="O8" s="31"/>
      <c r="P8" s="31">
        <v>8</v>
      </c>
      <c r="Q8" s="31">
        <v>8</v>
      </c>
      <c r="R8" s="31">
        <v>8</v>
      </c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16.5" customHeight="1" x14ac:dyDescent="0.3">
      <c r="A9" s="22">
        <v>46176</v>
      </c>
      <c r="B9" s="23" t="s">
        <v>67</v>
      </c>
      <c r="C9" s="24" t="s">
        <v>61</v>
      </c>
      <c r="D9" s="25">
        <v>8</v>
      </c>
      <c r="E9" s="26">
        <v>8</v>
      </c>
      <c r="F9" s="26">
        <v>8</v>
      </c>
      <c r="G9" s="26">
        <v>8</v>
      </c>
      <c r="H9" s="26">
        <v>7.45</v>
      </c>
      <c r="I9" s="26">
        <v>8</v>
      </c>
      <c r="J9" s="26">
        <v>8</v>
      </c>
      <c r="K9" s="26">
        <v>8</v>
      </c>
      <c r="L9" s="26">
        <v>8</v>
      </c>
      <c r="M9" s="26">
        <v>8</v>
      </c>
      <c r="N9" s="26">
        <v>8</v>
      </c>
      <c r="O9" s="26"/>
      <c r="P9" s="26">
        <v>8</v>
      </c>
      <c r="Q9" s="26">
        <v>8</v>
      </c>
      <c r="R9" s="26">
        <v>8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 ht="16.5" customHeight="1" x14ac:dyDescent="0.3">
      <c r="A10" s="27">
        <v>46177</v>
      </c>
      <c r="B10" s="28" t="s">
        <v>60</v>
      </c>
      <c r="C10" s="29" t="s">
        <v>61</v>
      </c>
      <c r="D10" s="30">
        <v>8</v>
      </c>
      <c r="E10" s="31">
        <v>8</v>
      </c>
      <c r="F10" s="31">
        <v>8</v>
      </c>
      <c r="G10" s="31">
        <v>8</v>
      </c>
      <c r="H10" s="31" t="s">
        <v>140</v>
      </c>
      <c r="I10" s="31">
        <v>8</v>
      </c>
      <c r="J10" s="31">
        <v>8</v>
      </c>
      <c r="K10" s="31">
        <v>8</v>
      </c>
      <c r="L10" s="31">
        <v>8</v>
      </c>
      <c r="M10" s="31">
        <v>8</v>
      </c>
      <c r="N10" s="31">
        <v>8</v>
      </c>
      <c r="O10" s="31"/>
      <c r="P10" s="31">
        <v>8</v>
      </c>
      <c r="Q10" s="31">
        <v>8</v>
      </c>
      <c r="R10" s="31">
        <v>8</v>
      </c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ht="16.5" customHeight="1" x14ac:dyDescent="0.3">
      <c r="A11" s="22">
        <v>46178</v>
      </c>
      <c r="B11" s="23" t="s">
        <v>62</v>
      </c>
      <c r="C11" s="24" t="s">
        <v>61</v>
      </c>
      <c r="D11" s="25">
        <v>8</v>
      </c>
      <c r="E11" s="26">
        <v>8</v>
      </c>
      <c r="F11" s="26">
        <v>8</v>
      </c>
      <c r="G11" s="26">
        <v>8</v>
      </c>
      <c r="H11" s="26">
        <v>7.45</v>
      </c>
      <c r="I11" s="26" t="s">
        <v>140</v>
      </c>
      <c r="J11" s="26">
        <v>8</v>
      </c>
      <c r="K11" s="26">
        <v>8</v>
      </c>
      <c r="L11" s="26">
        <v>4</v>
      </c>
      <c r="M11" s="26" t="s">
        <v>140</v>
      </c>
      <c r="N11" s="26">
        <v>8</v>
      </c>
      <c r="O11" s="26"/>
      <c r="P11" s="26">
        <v>8</v>
      </c>
      <c r="Q11" s="26">
        <v>8</v>
      </c>
      <c r="R11" s="26">
        <v>7.35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ht="16.5" customHeight="1" x14ac:dyDescent="0.3">
      <c r="A12" s="27">
        <v>46179</v>
      </c>
      <c r="B12" s="28" t="s">
        <v>63</v>
      </c>
      <c r="C12" s="29" t="s">
        <v>61</v>
      </c>
      <c r="D12" s="30">
        <v>8</v>
      </c>
      <c r="E12" s="31">
        <v>8</v>
      </c>
      <c r="F12" s="31">
        <v>8</v>
      </c>
      <c r="G12" s="31">
        <v>8</v>
      </c>
      <c r="H12" s="31">
        <v>9</v>
      </c>
      <c r="I12" s="31" t="s">
        <v>140</v>
      </c>
      <c r="J12" s="31">
        <v>8</v>
      </c>
      <c r="K12" s="31">
        <v>8</v>
      </c>
      <c r="L12" s="31">
        <v>8</v>
      </c>
      <c r="M12" s="31">
        <v>8</v>
      </c>
      <c r="N12" s="31">
        <v>8</v>
      </c>
      <c r="O12" s="31"/>
      <c r="P12" s="31">
        <v>8</v>
      </c>
      <c r="Q12" s="31">
        <v>8</v>
      </c>
      <c r="R12" s="31">
        <v>8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4" ht="16.5" customHeight="1" x14ac:dyDescent="0.3">
      <c r="A13" s="32">
        <v>46180</v>
      </c>
      <c r="B13" s="33" t="s">
        <v>64</v>
      </c>
      <c r="C13" s="33" t="s">
        <v>64</v>
      </c>
      <c r="D13" s="34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</row>
    <row r="14" spans="1:34" ht="16.5" customHeight="1" x14ac:dyDescent="0.3">
      <c r="A14" s="27">
        <v>46181</v>
      </c>
      <c r="B14" s="28" t="s">
        <v>65</v>
      </c>
      <c r="C14" s="29" t="s">
        <v>61</v>
      </c>
      <c r="D14" s="30">
        <v>8</v>
      </c>
      <c r="E14" s="31">
        <v>8</v>
      </c>
      <c r="F14" s="31">
        <v>8</v>
      </c>
      <c r="G14" s="31">
        <v>8</v>
      </c>
      <c r="H14" s="31">
        <v>5.0999999999999996</v>
      </c>
      <c r="I14" s="31">
        <v>7.45</v>
      </c>
      <c r="J14" s="31">
        <v>8</v>
      </c>
      <c r="K14" s="31">
        <v>8</v>
      </c>
      <c r="L14" s="31">
        <v>8</v>
      </c>
      <c r="M14" s="31">
        <v>8</v>
      </c>
      <c r="N14" s="31">
        <v>8</v>
      </c>
      <c r="O14" s="31"/>
      <c r="P14" s="31">
        <v>8</v>
      </c>
      <c r="Q14" s="31">
        <v>8</v>
      </c>
      <c r="R14" s="31" t="s">
        <v>140</v>
      </c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</row>
    <row r="15" spans="1:34" ht="16.5" customHeight="1" x14ac:dyDescent="0.3">
      <c r="A15" s="22">
        <v>46182</v>
      </c>
      <c r="B15" s="23" t="s">
        <v>66</v>
      </c>
      <c r="C15" s="24" t="s">
        <v>61</v>
      </c>
      <c r="D15" s="25">
        <v>8</v>
      </c>
      <c r="E15" s="26">
        <v>8</v>
      </c>
      <c r="F15" s="26">
        <v>8</v>
      </c>
      <c r="G15" s="26">
        <v>8</v>
      </c>
      <c r="H15" s="26">
        <v>8</v>
      </c>
      <c r="I15" s="26">
        <v>8</v>
      </c>
      <c r="J15" s="26">
        <v>8</v>
      </c>
      <c r="K15" s="26">
        <v>8</v>
      </c>
      <c r="L15" s="26">
        <v>8</v>
      </c>
      <c r="M15" s="26">
        <v>8</v>
      </c>
      <c r="N15" s="26">
        <v>8</v>
      </c>
      <c r="O15" s="26"/>
      <c r="P15" s="26">
        <v>8</v>
      </c>
      <c r="Q15" s="26">
        <v>8</v>
      </c>
      <c r="R15" s="26">
        <v>8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16.5" customHeight="1" x14ac:dyDescent="0.3">
      <c r="A16" s="27">
        <v>8.1999999999999993</v>
      </c>
      <c r="B16" s="28" t="s">
        <v>67</v>
      </c>
      <c r="C16" s="29" t="s">
        <v>61</v>
      </c>
      <c r="D16" s="30">
        <v>8</v>
      </c>
      <c r="E16" s="31">
        <v>8</v>
      </c>
      <c r="F16" s="31">
        <v>8</v>
      </c>
      <c r="G16" s="31">
        <v>8.18</v>
      </c>
      <c r="H16" s="31" t="s">
        <v>140</v>
      </c>
      <c r="I16" s="31">
        <v>8.18</v>
      </c>
      <c r="J16" s="31">
        <v>8</v>
      </c>
      <c r="K16" s="31">
        <v>8</v>
      </c>
      <c r="L16" s="31" t="s">
        <v>140</v>
      </c>
      <c r="M16" s="31">
        <v>8</v>
      </c>
      <c r="N16" s="31">
        <v>8</v>
      </c>
      <c r="O16" s="31"/>
      <c r="P16" s="31">
        <v>8</v>
      </c>
      <c r="Q16" s="31">
        <v>8</v>
      </c>
      <c r="R16" s="31">
        <v>8</v>
      </c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</row>
    <row r="17" spans="1:34" ht="16.5" customHeight="1" x14ac:dyDescent="0.3">
      <c r="A17" s="22">
        <v>46184</v>
      </c>
      <c r="B17" s="23" t="s">
        <v>60</v>
      </c>
      <c r="C17" s="24" t="s">
        <v>61</v>
      </c>
      <c r="D17" s="25">
        <v>8</v>
      </c>
      <c r="E17" s="26">
        <v>7.3</v>
      </c>
      <c r="F17" s="26">
        <v>8</v>
      </c>
      <c r="G17" s="26">
        <v>8</v>
      </c>
      <c r="H17" s="26">
        <v>8</v>
      </c>
      <c r="I17" s="26">
        <v>8</v>
      </c>
      <c r="J17" s="26">
        <v>8</v>
      </c>
      <c r="K17" s="26">
        <v>8</v>
      </c>
      <c r="L17" s="26" t="s">
        <v>140</v>
      </c>
      <c r="M17" s="26">
        <v>4</v>
      </c>
      <c r="N17" s="26">
        <v>8</v>
      </c>
      <c r="O17" s="26"/>
      <c r="P17" s="26">
        <v>8</v>
      </c>
      <c r="Q17" s="26">
        <v>8</v>
      </c>
      <c r="R17" s="26">
        <v>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16.5" customHeight="1" x14ac:dyDescent="0.3">
      <c r="A18" s="27">
        <v>46185</v>
      </c>
      <c r="B18" s="28" t="s">
        <v>62</v>
      </c>
      <c r="C18" s="29" t="s">
        <v>61</v>
      </c>
      <c r="D18" s="30">
        <v>8</v>
      </c>
      <c r="E18" s="31">
        <v>2.2999999999999998</v>
      </c>
      <c r="F18" s="31">
        <v>1</v>
      </c>
      <c r="G18" s="31">
        <v>2</v>
      </c>
      <c r="H18" s="31">
        <v>2.2999999999999998</v>
      </c>
      <c r="I18" s="31" t="s">
        <v>140</v>
      </c>
      <c r="J18" s="31">
        <v>8</v>
      </c>
      <c r="K18" s="31">
        <v>8</v>
      </c>
      <c r="L18" s="31" t="s">
        <v>140</v>
      </c>
      <c r="M18" s="31">
        <v>2</v>
      </c>
      <c r="N18" s="31">
        <v>8</v>
      </c>
      <c r="O18" s="31"/>
      <c r="P18" s="31">
        <v>8</v>
      </c>
      <c r="Q18" s="31">
        <v>8</v>
      </c>
      <c r="R18" s="31" t="s">
        <v>140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</row>
    <row r="19" spans="1:34" ht="16.5" customHeight="1" x14ac:dyDescent="0.3">
      <c r="A19" s="22">
        <v>46186</v>
      </c>
      <c r="B19" s="23" t="s">
        <v>63</v>
      </c>
      <c r="C19" s="24" t="s">
        <v>61</v>
      </c>
      <c r="D19" s="25">
        <v>8</v>
      </c>
      <c r="E19" s="26">
        <v>8</v>
      </c>
      <c r="F19" s="26">
        <v>8</v>
      </c>
      <c r="G19" s="26">
        <v>8</v>
      </c>
      <c r="H19" s="26">
        <v>7.45</v>
      </c>
      <c r="I19" s="26">
        <v>8</v>
      </c>
      <c r="J19" s="26">
        <v>8</v>
      </c>
      <c r="K19" s="26">
        <v>8</v>
      </c>
      <c r="L19" s="26">
        <v>8</v>
      </c>
      <c r="M19" s="26">
        <v>8</v>
      </c>
      <c r="N19" s="26">
        <v>8</v>
      </c>
      <c r="O19" s="26"/>
      <c r="P19" s="26">
        <v>8</v>
      </c>
      <c r="Q19" s="26">
        <v>8</v>
      </c>
      <c r="R19" s="26">
        <v>8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16.5" customHeight="1" x14ac:dyDescent="0.3">
      <c r="A20" s="32">
        <v>46187</v>
      </c>
      <c r="B20" s="33" t="s">
        <v>64</v>
      </c>
      <c r="C20" s="33" t="s">
        <v>64</v>
      </c>
      <c r="D20" s="34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</row>
    <row r="21" spans="1:34" ht="16.5" customHeight="1" x14ac:dyDescent="0.3">
      <c r="A21" s="22">
        <v>46188</v>
      </c>
      <c r="B21" s="23" t="s">
        <v>65</v>
      </c>
      <c r="C21" s="24" t="s">
        <v>61</v>
      </c>
      <c r="D21" s="25">
        <v>8</v>
      </c>
      <c r="E21" s="26">
        <v>8</v>
      </c>
      <c r="F21" s="26">
        <v>9</v>
      </c>
      <c r="G21" s="26">
        <v>8</v>
      </c>
      <c r="H21" s="26">
        <v>8</v>
      </c>
      <c r="I21" s="26">
        <v>8</v>
      </c>
      <c r="J21" s="26">
        <v>8</v>
      </c>
      <c r="K21" s="26">
        <v>8</v>
      </c>
      <c r="L21" s="26">
        <v>8</v>
      </c>
      <c r="M21" s="26">
        <v>7.45</v>
      </c>
      <c r="N21" s="26">
        <v>8</v>
      </c>
      <c r="O21" s="26"/>
      <c r="P21" s="26">
        <v>8</v>
      </c>
      <c r="Q21" s="26">
        <v>8</v>
      </c>
      <c r="R21" s="26">
        <v>8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16.5" customHeight="1" x14ac:dyDescent="0.3">
      <c r="A22" s="27">
        <v>46189</v>
      </c>
      <c r="B22" s="28" t="s">
        <v>66</v>
      </c>
      <c r="C22" s="29" t="s">
        <v>61</v>
      </c>
      <c r="D22" s="30">
        <v>8</v>
      </c>
      <c r="E22" s="31" t="s">
        <v>140</v>
      </c>
      <c r="F22" s="31">
        <v>8</v>
      </c>
      <c r="G22" s="31">
        <v>8</v>
      </c>
      <c r="H22" s="31">
        <v>8</v>
      </c>
      <c r="I22" s="31">
        <v>7.35</v>
      </c>
      <c r="J22" s="31">
        <v>8</v>
      </c>
      <c r="K22" s="31">
        <v>8</v>
      </c>
      <c r="L22" s="31">
        <v>8</v>
      </c>
      <c r="M22" s="31">
        <v>8</v>
      </c>
      <c r="N22" s="31">
        <v>8</v>
      </c>
      <c r="O22" s="31"/>
      <c r="P22" s="31">
        <v>8</v>
      </c>
      <c r="Q22" s="31">
        <v>8</v>
      </c>
      <c r="R22" s="31">
        <v>7.45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 spans="1:34" ht="16.5" customHeight="1" x14ac:dyDescent="0.3">
      <c r="A23" s="22">
        <v>46190</v>
      </c>
      <c r="B23" s="23" t="s">
        <v>67</v>
      </c>
      <c r="C23" s="24" t="s">
        <v>61</v>
      </c>
      <c r="D23" s="25">
        <v>8</v>
      </c>
      <c r="E23" s="26">
        <v>7.45</v>
      </c>
      <c r="F23" s="26">
        <v>8</v>
      </c>
      <c r="G23" s="26">
        <v>8</v>
      </c>
      <c r="H23" s="26">
        <v>8</v>
      </c>
      <c r="I23" s="26">
        <v>8</v>
      </c>
      <c r="J23" s="26">
        <v>8</v>
      </c>
      <c r="K23" s="26">
        <v>8</v>
      </c>
      <c r="L23" s="26">
        <v>8</v>
      </c>
      <c r="M23" s="26">
        <v>8</v>
      </c>
      <c r="N23" s="26">
        <v>8</v>
      </c>
      <c r="O23" s="26"/>
      <c r="P23" s="26">
        <v>8</v>
      </c>
      <c r="Q23" s="26">
        <v>8</v>
      </c>
      <c r="R23" s="26">
        <v>8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16.5" customHeight="1" x14ac:dyDescent="0.3">
      <c r="A24" s="27">
        <v>46191</v>
      </c>
      <c r="B24" s="28" t="s">
        <v>60</v>
      </c>
      <c r="C24" s="29" t="s">
        <v>61</v>
      </c>
      <c r="D24" s="30">
        <v>8</v>
      </c>
      <c r="E24" s="31">
        <v>7.45</v>
      </c>
      <c r="F24" s="31">
        <v>8</v>
      </c>
      <c r="G24" s="31">
        <v>8</v>
      </c>
      <c r="H24" s="31">
        <v>8</v>
      </c>
      <c r="I24" s="31">
        <v>8</v>
      </c>
      <c r="J24" s="31">
        <v>8</v>
      </c>
      <c r="K24" s="31">
        <v>8</v>
      </c>
      <c r="L24" s="31">
        <v>7.4</v>
      </c>
      <c r="M24" s="31">
        <v>8</v>
      </c>
      <c r="N24" s="31">
        <v>8</v>
      </c>
      <c r="O24" s="31"/>
      <c r="P24" s="31">
        <v>8</v>
      </c>
      <c r="Q24" s="31">
        <v>8</v>
      </c>
      <c r="R24" s="31">
        <v>8</v>
      </c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</row>
    <row r="25" spans="1:34" ht="16.5" customHeight="1" x14ac:dyDescent="0.3">
      <c r="A25" s="22">
        <v>46192</v>
      </c>
      <c r="B25" s="23" t="s">
        <v>62</v>
      </c>
      <c r="C25" s="24" t="s">
        <v>61</v>
      </c>
      <c r="D25" s="25">
        <v>8</v>
      </c>
      <c r="E25" s="26">
        <v>8</v>
      </c>
      <c r="F25" s="26">
        <v>8</v>
      </c>
      <c r="G25" s="26">
        <v>8</v>
      </c>
      <c r="H25" s="26">
        <v>8</v>
      </c>
      <c r="I25" s="26">
        <v>8</v>
      </c>
      <c r="J25" s="26">
        <v>8</v>
      </c>
      <c r="K25" s="26">
        <v>8</v>
      </c>
      <c r="L25" s="26">
        <v>8</v>
      </c>
      <c r="M25" s="26" t="s">
        <v>140</v>
      </c>
      <c r="N25" s="26">
        <v>8</v>
      </c>
      <c r="O25" s="26"/>
      <c r="P25" s="26">
        <v>8</v>
      </c>
      <c r="Q25" s="26">
        <v>8</v>
      </c>
      <c r="R25" s="26">
        <v>8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16.5" customHeight="1" x14ac:dyDescent="0.3">
      <c r="A26" s="27">
        <v>46193</v>
      </c>
      <c r="B26" s="28" t="s">
        <v>63</v>
      </c>
      <c r="C26" s="29" t="s">
        <v>61</v>
      </c>
      <c r="D26" s="30">
        <v>8</v>
      </c>
      <c r="E26" s="31">
        <v>7.3</v>
      </c>
      <c r="F26" s="31">
        <v>7.3</v>
      </c>
      <c r="G26" s="31">
        <v>7.3</v>
      </c>
      <c r="H26" s="31">
        <v>8</v>
      </c>
      <c r="I26" s="31">
        <v>7.3</v>
      </c>
      <c r="J26" s="31">
        <v>8</v>
      </c>
      <c r="K26" s="31">
        <v>8</v>
      </c>
      <c r="L26" s="31">
        <v>7.3</v>
      </c>
      <c r="M26" s="31">
        <v>7.3</v>
      </c>
      <c r="N26" s="31">
        <v>8</v>
      </c>
      <c r="O26" s="31"/>
      <c r="P26" s="31">
        <v>8</v>
      </c>
      <c r="Q26" s="31">
        <v>8</v>
      </c>
      <c r="R26" s="31">
        <v>7.45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 spans="1:34" ht="16.5" customHeight="1" x14ac:dyDescent="0.3">
      <c r="A27" s="32">
        <v>46194</v>
      </c>
      <c r="B27" s="33" t="s">
        <v>64</v>
      </c>
      <c r="C27" s="33" t="s">
        <v>64</v>
      </c>
      <c r="D27" s="34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  <c r="AA27" s="35">
        <v>0</v>
      </c>
      <c r="AB27" s="35">
        <v>0</v>
      </c>
      <c r="AC27" s="35">
        <v>0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</row>
    <row r="28" spans="1:34" ht="16.5" customHeight="1" x14ac:dyDescent="0.3">
      <c r="A28" s="27">
        <v>46195</v>
      </c>
      <c r="B28" s="28" t="s">
        <v>65</v>
      </c>
      <c r="C28" s="29" t="s">
        <v>61</v>
      </c>
      <c r="D28" s="30">
        <v>8</v>
      </c>
      <c r="E28" s="31">
        <v>8</v>
      </c>
      <c r="F28" s="31">
        <v>8</v>
      </c>
      <c r="G28" s="31">
        <v>8</v>
      </c>
      <c r="H28" s="31">
        <v>5.4</v>
      </c>
      <c r="I28" s="31">
        <v>8</v>
      </c>
      <c r="J28" s="31">
        <v>8</v>
      </c>
      <c r="K28" s="31">
        <v>8</v>
      </c>
      <c r="L28" s="31">
        <v>8</v>
      </c>
      <c r="M28" s="31" t="s">
        <v>140</v>
      </c>
      <c r="N28" s="31">
        <v>8</v>
      </c>
      <c r="O28" s="31"/>
      <c r="P28" s="31">
        <v>8</v>
      </c>
      <c r="Q28" s="31">
        <v>8</v>
      </c>
      <c r="R28" s="31">
        <v>7.3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</row>
    <row r="29" spans="1:34" ht="16.5" customHeight="1" x14ac:dyDescent="0.3">
      <c r="A29" s="22">
        <v>46196</v>
      </c>
      <c r="B29" s="23" t="s">
        <v>66</v>
      </c>
      <c r="C29" s="24" t="s">
        <v>61</v>
      </c>
      <c r="D29" s="25">
        <v>8</v>
      </c>
      <c r="E29" s="26">
        <v>7.45</v>
      </c>
      <c r="F29" s="26">
        <v>8</v>
      </c>
      <c r="G29" s="26">
        <v>8</v>
      </c>
      <c r="H29" s="26">
        <v>8</v>
      </c>
      <c r="I29" s="26">
        <v>8</v>
      </c>
      <c r="J29" s="26">
        <v>8</v>
      </c>
      <c r="K29" s="26">
        <v>8</v>
      </c>
      <c r="L29" s="26">
        <v>8</v>
      </c>
      <c r="M29" s="26" t="s">
        <v>140</v>
      </c>
      <c r="N29" s="26">
        <v>8</v>
      </c>
      <c r="O29" s="26"/>
      <c r="P29" s="26">
        <v>8</v>
      </c>
      <c r="Q29" s="26">
        <v>8</v>
      </c>
      <c r="R29" s="26">
        <v>7.45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ht="16.5" customHeight="1" x14ac:dyDescent="0.3">
      <c r="A30" s="27">
        <v>46197</v>
      </c>
      <c r="B30" s="28" t="s">
        <v>67</v>
      </c>
      <c r="C30" s="29" t="s">
        <v>61</v>
      </c>
      <c r="D30" s="30">
        <v>8</v>
      </c>
      <c r="E30" s="31">
        <v>8</v>
      </c>
      <c r="F30" s="31">
        <v>8</v>
      </c>
      <c r="G30" s="31">
        <v>8.3000000000000007</v>
      </c>
      <c r="H30" s="31">
        <v>4</v>
      </c>
      <c r="I30" s="31">
        <v>7.45</v>
      </c>
      <c r="J30" s="31">
        <v>8</v>
      </c>
      <c r="K30" s="31">
        <v>8</v>
      </c>
      <c r="L30" s="31">
        <v>8.3000000000000007</v>
      </c>
      <c r="M30" s="31" t="s">
        <v>140</v>
      </c>
      <c r="N30" s="31">
        <v>8</v>
      </c>
      <c r="O30" s="31"/>
      <c r="P30" s="31">
        <v>8</v>
      </c>
      <c r="Q30" s="31">
        <v>8</v>
      </c>
      <c r="R30" s="31">
        <v>8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 spans="1:34" ht="16.5" customHeight="1" x14ac:dyDescent="0.3">
      <c r="A31" s="22">
        <v>46198</v>
      </c>
      <c r="B31" s="23" t="s">
        <v>60</v>
      </c>
      <c r="C31" s="24" t="s">
        <v>61</v>
      </c>
      <c r="D31" s="25">
        <v>8</v>
      </c>
      <c r="E31" s="26">
        <v>8</v>
      </c>
      <c r="F31" s="26">
        <v>8</v>
      </c>
      <c r="G31" s="26">
        <v>8</v>
      </c>
      <c r="H31" s="26">
        <v>8</v>
      </c>
      <c r="I31" s="26">
        <v>8</v>
      </c>
      <c r="J31" s="26">
        <v>8</v>
      </c>
      <c r="K31" s="26">
        <v>8</v>
      </c>
      <c r="L31" s="26">
        <v>8</v>
      </c>
      <c r="M31" s="26" t="s">
        <v>140</v>
      </c>
      <c r="N31" s="26">
        <v>8</v>
      </c>
      <c r="O31" s="26"/>
      <c r="P31" s="26">
        <v>8</v>
      </c>
      <c r="Q31" s="26">
        <v>8</v>
      </c>
      <c r="R31" s="26">
        <v>8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34" ht="16.5" customHeight="1" x14ac:dyDescent="0.3">
      <c r="A32" s="27">
        <v>46199</v>
      </c>
      <c r="B32" s="28" t="s">
        <v>62</v>
      </c>
      <c r="C32" s="29" t="s">
        <v>61</v>
      </c>
      <c r="D32" s="30">
        <v>8</v>
      </c>
      <c r="E32" s="31">
        <v>8</v>
      </c>
      <c r="F32" s="31">
        <v>8</v>
      </c>
      <c r="G32" s="31">
        <v>8</v>
      </c>
      <c r="H32" s="31">
        <v>8</v>
      </c>
      <c r="I32" s="31">
        <v>8</v>
      </c>
      <c r="J32" s="31">
        <v>8</v>
      </c>
      <c r="K32" s="31">
        <v>8</v>
      </c>
      <c r="L32" s="31">
        <v>8</v>
      </c>
      <c r="M32" s="31" t="s">
        <v>140</v>
      </c>
      <c r="N32" s="31">
        <v>8</v>
      </c>
      <c r="O32" s="31"/>
      <c r="P32" s="31">
        <v>8</v>
      </c>
      <c r="Q32" s="31">
        <v>8</v>
      </c>
      <c r="R32" s="31">
        <v>8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</row>
    <row r="33" spans="1:34" ht="16.5" customHeight="1" x14ac:dyDescent="0.3">
      <c r="A33" s="22">
        <v>46200</v>
      </c>
      <c r="B33" s="23" t="s">
        <v>63</v>
      </c>
      <c r="C33" s="24" t="s">
        <v>61</v>
      </c>
      <c r="D33" s="25">
        <v>8</v>
      </c>
      <c r="E33" s="26">
        <v>8</v>
      </c>
      <c r="F33" s="26">
        <v>8</v>
      </c>
      <c r="G33" s="26">
        <v>8</v>
      </c>
      <c r="H33" s="26" t="s">
        <v>140</v>
      </c>
      <c r="I33" s="26">
        <v>7.45</v>
      </c>
      <c r="J33" s="26">
        <v>8</v>
      </c>
      <c r="K33" s="26">
        <v>8</v>
      </c>
      <c r="L33" s="26">
        <v>8</v>
      </c>
      <c r="M33" s="26" t="s">
        <v>140</v>
      </c>
      <c r="N33" s="26">
        <v>8</v>
      </c>
      <c r="O33" s="26"/>
      <c r="P33" s="26">
        <v>8</v>
      </c>
      <c r="Q33" s="26">
        <v>8</v>
      </c>
      <c r="R33" s="26">
        <v>8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ht="16.5" customHeight="1" x14ac:dyDescent="0.3">
      <c r="A34" s="32">
        <v>46201</v>
      </c>
      <c r="B34" s="33" t="s">
        <v>64</v>
      </c>
      <c r="C34" s="33" t="s">
        <v>64</v>
      </c>
      <c r="D34" s="34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  <c r="U34" s="35">
        <v>0</v>
      </c>
      <c r="V34" s="35">
        <v>0</v>
      </c>
      <c r="W34" s="35">
        <v>0</v>
      </c>
      <c r="X34" s="35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35">
        <v>0</v>
      </c>
      <c r="AG34" s="35">
        <v>0</v>
      </c>
      <c r="AH34" s="35">
        <v>0</v>
      </c>
    </row>
    <row r="35" spans="1:34" ht="16.5" customHeight="1" x14ac:dyDescent="0.3">
      <c r="A35" s="22">
        <v>46202</v>
      </c>
      <c r="B35" s="23" t="s">
        <v>65</v>
      </c>
      <c r="C35" s="24" t="s">
        <v>61</v>
      </c>
      <c r="D35" s="25">
        <v>8</v>
      </c>
      <c r="E35" s="26">
        <v>8</v>
      </c>
      <c r="F35" s="26">
        <v>8</v>
      </c>
      <c r="G35" s="26">
        <v>8</v>
      </c>
      <c r="H35" s="26">
        <v>8</v>
      </c>
      <c r="I35" s="26">
        <v>8</v>
      </c>
      <c r="J35" s="26">
        <v>8</v>
      </c>
      <c r="K35" s="26">
        <v>8</v>
      </c>
      <c r="L35" s="26">
        <v>8</v>
      </c>
      <c r="M35" s="26" t="s">
        <v>140</v>
      </c>
      <c r="N35" s="26">
        <v>8</v>
      </c>
      <c r="O35" s="26"/>
      <c r="P35" s="26">
        <v>8</v>
      </c>
      <c r="Q35" s="26">
        <v>8</v>
      </c>
      <c r="R35" s="26">
        <v>8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ht="16.5" customHeight="1" x14ac:dyDescent="0.3">
      <c r="A36" s="27">
        <v>46203</v>
      </c>
      <c r="B36" s="28" t="s">
        <v>66</v>
      </c>
      <c r="C36" s="29" t="s">
        <v>61</v>
      </c>
      <c r="D36" s="30">
        <v>8</v>
      </c>
      <c r="E36" s="31">
        <v>8</v>
      </c>
      <c r="F36" s="31">
        <v>8</v>
      </c>
      <c r="G36" s="31">
        <v>8</v>
      </c>
      <c r="H36" s="31">
        <v>8</v>
      </c>
      <c r="I36" s="31">
        <v>8</v>
      </c>
      <c r="J36" s="31">
        <v>8</v>
      </c>
      <c r="K36" s="31">
        <v>8</v>
      </c>
      <c r="L36" s="31">
        <v>8</v>
      </c>
      <c r="M36" s="31" t="s">
        <v>140</v>
      </c>
      <c r="N36" s="31">
        <v>8</v>
      </c>
      <c r="O36" s="31"/>
      <c r="P36" s="31">
        <v>8</v>
      </c>
      <c r="Q36" s="31">
        <v>8</v>
      </c>
      <c r="R36" s="31">
        <v>8</v>
      </c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</row>
    <row r="38" spans="1:34" ht="21.75" customHeight="1" x14ac:dyDescent="0.3">
      <c r="A38" s="60" t="s">
        <v>68</v>
      </c>
      <c r="B38" s="60"/>
      <c r="C38" s="60"/>
      <c r="D38" s="60"/>
      <c r="E38" s="36">
        <f>IF(Setup!B15&lt;&gt;"",SUM(E7:E36),"")</f>
        <v>183.25</v>
      </c>
      <c r="F38" s="36">
        <f>IF(Setup!B16&lt;&gt;"",SUM(F7:F36),"")</f>
        <v>200.60000000000002</v>
      </c>
      <c r="G38" s="36">
        <f>IF(Setup!B17&lt;&gt;"",SUM(G7:G36),"")</f>
        <v>201.08</v>
      </c>
      <c r="H38" s="36">
        <f>IF(Setup!B18&lt;&gt;"",SUM(H7:H36),"")</f>
        <v>164.15</v>
      </c>
      <c r="I38" s="36">
        <f>IF(Setup!B19&lt;&gt;"",SUM(I7:I36),"")</f>
        <v>180.62999999999997</v>
      </c>
      <c r="J38" s="36">
        <f>IF(Setup!B20&lt;&gt;"",SUM(J7:J36),"")</f>
        <v>208</v>
      </c>
      <c r="K38" s="36">
        <f>IF(Setup!B21&lt;&gt;"",SUM(K7:K36),"")</f>
        <v>208</v>
      </c>
      <c r="L38" s="36">
        <f>IF(Setup!B22&lt;&gt;"",SUM(L7:L36),"")</f>
        <v>163</v>
      </c>
      <c r="M38" s="36">
        <f>IF(Setup!B23&lt;&gt;"",SUM(M7:M36),"")</f>
        <v>108.75</v>
      </c>
      <c r="N38" s="36">
        <f>IF(Setup!B24&lt;&gt;"",SUM(N7:N36),"")</f>
        <v>208</v>
      </c>
      <c r="O38" s="36">
        <f>IF(Setup!B25&lt;&gt;"",SUM(O7:O36),"")</f>
        <v>0</v>
      </c>
      <c r="P38" s="36">
        <f>IF(Setup!B26&lt;&gt;"",SUM(P7:P36),"")</f>
        <v>208</v>
      </c>
      <c r="Q38" s="36">
        <f>IF(Setup!B27&lt;&gt;"",SUM(Q7:Q36),"")</f>
        <v>208</v>
      </c>
      <c r="R38" s="36">
        <f>IF(Setup!B28&lt;&gt;"",SUM(R7:R36),"")</f>
        <v>189</v>
      </c>
      <c r="S38" s="36" t="str">
        <f>IF(Setup!B29&lt;&gt;"",SUM(S7:S36),"")</f>
        <v/>
      </c>
      <c r="T38" s="36" t="str">
        <f>IF(Setup!B30&lt;&gt;"",SUM(T7:T36),"")</f>
        <v/>
      </c>
      <c r="U38" s="36" t="str">
        <f>IF(Setup!B31&lt;&gt;"",SUM(U7:U36),"")</f>
        <v/>
      </c>
      <c r="V38" s="36" t="str">
        <f>IF(Setup!B32&lt;&gt;"",SUM(V7:V36),"")</f>
        <v/>
      </c>
      <c r="W38" s="36" t="str">
        <f>IF(Setup!B33&lt;&gt;"",SUM(W7:W36),"")</f>
        <v/>
      </c>
      <c r="X38" s="36" t="str">
        <f>IF(Setup!B34&lt;&gt;"",SUM(X7:X36),"")</f>
        <v/>
      </c>
      <c r="Y38" s="36" t="str">
        <f>IF(Setup!B35&lt;&gt;"",SUM(Y7:Y36),"")</f>
        <v/>
      </c>
      <c r="Z38" s="36" t="str">
        <f>IF(Setup!B36&lt;&gt;"",SUM(Z7:Z36),"")</f>
        <v/>
      </c>
      <c r="AA38" s="36" t="str">
        <f>IF(Setup!B37&lt;&gt;"",SUM(AA7:AA36),"")</f>
        <v/>
      </c>
      <c r="AB38" s="36" t="str">
        <f>IF(Setup!B38&lt;&gt;"",SUM(AB7:AB36),"")</f>
        <v/>
      </c>
      <c r="AC38" s="36" t="str">
        <f>IF(Setup!B39&lt;&gt;"",SUM(AC7:AC36),"")</f>
        <v/>
      </c>
      <c r="AD38" s="36" t="str">
        <f>IF(Setup!B40&lt;&gt;"",SUM(AD7:AD36),"")</f>
        <v/>
      </c>
      <c r="AE38" s="36" t="str">
        <f>IF(Setup!B41&lt;&gt;"",SUM(AE7:AE36),"")</f>
        <v/>
      </c>
      <c r="AF38" s="36" t="str">
        <f>IF(Setup!B42&lt;&gt;"",SUM(AF7:AF36),"")</f>
        <v/>
      </c>
      <c r="AG38" s="36" t="str">
        <f>IF(Setup!B43&lt;&gt;"",SUM(AG7:AG36),"")</f>
        <v/>
      </c>
      <c r="AH38" s="36" t="str">
        <f>IF(Setup!B44&lt;&gt;"",SUM(AH7:AH36),"")</f>
        <v/>
      </c>
    </row>
    <row r="39" spans="1:34" ht="19.5" customHeight="1" x14ac:dyDescent="0.3">
      <c r="A39" s="61" t="s">
        <v>69</v>
      </c>
      <c r="B39" s="61"/>
      <c r="C39" s="61"/>
      <c r="D39" s="61"/>
      <c r="E39" s="37">
        <f>IF(Setup!B15&lt;&gt;"",COUNTIFS(C7:C36,"WORK",E7:E36,0),"")</f>
        <v>0</v>
      </c>
      <c r="F39" s="37">
        <f>IF(Setup!B16&lt;&gt;"",COUNTIFS(C7:C36,"WORK",F7:F36,0),"")</f>
        <v>0</v>
      </c>
      <c r="G39" s="37">
        <f>IF(Setup!B17&lt;&gt;"",COUNTIFS(C7:C36,"WORK",G7:G36,0),"")</f>
        <v>0</v>
      </c>
      <c r="H39" s="37">
        <f>IF(Setup!B18&lt;&gt;"",COUNTIFS(C7:C36,"WORK",H7:H36,0),"")</f>
        <v>0</v>
      </c>
      <c r="I39" s="37">
        <f>IF(Setup!B19&lt;&gt;"",COUNTIFS(C7:C36,"WORK",I7:I36,0),"")</f>
        <v>0</v>
      </c>
      <c r="J39" s="37">
        <f>IF(Setup!B20&lt;&gt;"",COUNTIFS(C7:C36,"WORK",J7:J36,0),"")</f>
        <v>0</v>
      </c>
      <c r="K39" s="37">
        <f>IF(Setup!B21&lt;&gt;"",COUNTIFS(C7:C36,"WORK",K7:K36,0),"")</f>
        <v>0</v>
      </c>
      <c r="L39" s="37">
        <f>IF(Setup!B22&lt;&gt;"",COUNTIFS(C7:C36,"WORK",L7:L36,0),"")</f>
        <v>0</v>
      </c>
      <c r="M39" s="37">
        <f>IF(Setup!B23&lt;&gt;"",COUNTIFS(C7:C36,"WORK",M7:M36,0),"")</f>
        <v>0</v>
      </c>
      <c r="N39" s="37">
        <f>IF(Setup!B24&lt;&gt;"",COUNTIFS(C7:C36,"WORK",N7:N36,0),"")</f>
        <v>0</v>
      </c>
      <c r="O39" s="37">
        <f>IF(Setup!B25&lt;&gt;"",COUNTIFS(C7:C36,"WORK",O7:O36,0),"")</f>
        <v>0</v>
      </c>
      <c r="P39" s="37">
        <f>IF(Setup!B26&lt;&gt;"",COUNTIFS(C7:C36,"WORK",P7:P36,0),"")</f>
        <v>0</v>
      </c>
      <c r="Q39" s="37">
        <f>IF(Setup!B27&lt;&gt;"",COUNTIFS(C7:C36,"WORK",Q7:Q36,0),"")</f>
        <v>0</v>
      </c>
      <c r="R39" s="37">
        <f>IF(Setup!B28&lt;&gt;"",COUNTIFS(C7:C36,"WORK",R7:R36,0),"")</f>
        <v>0</v>
      </c>
      <c r="S39" s="37" t="str">
        <f>IF(Setup!B29&lt;&gt;"",COUNTIFS(C7:C36,"WORK",S7:S36,0),"")</f>
        <v/>
      </c>
      <c r="T39" s="37" t="str">
        <f>IF(Setup!B30&lt;&gt;"",COUNTIFS(C7:C36,"WORK",T7:T36,0),"")</f>
        <v/>
      </c>
      <c r="U39" s="37" t="str">
        <f>IF(Setup!B31&lt;&gt;"",COUNTIFS(C7:C36,"WORK",U7:U36,0),"")</f>
        <v/>
      </c>
      <c r="V39" s="37" t="str">
        <f>IF(Setup!B32&lt;&gt;"",COUNTIFS(C7:C36,"WORK",V7:V36,0),"")</f>
        <v/>
      </c>
      <c r="W39" s="37" t="str">
        <f>IF(Setup!B33&lt;&gt;"",COUNTIFS(C7:C36,"WORK",W7:W36,0),"")</f>
        <v/>
      </c>
      <c r="X39" s="37" t="str">
        <f>IF(Setup!B34&lt;&gt;"",COUNTIFS(C7:C36,"WORK",X7:X36,0),"")</f>
        <v/>
      </c>
      <c r="Y39" s="37" t="str">
        <f>IF(Setup!B35&lt;&gt;"",COUNTIFS(C7:C36,"WORK",Y7:Y36,0),"")</f>
        <v/>
      </c>
      <c r="Z39" s="37" t="str">
        <f>IF(Setup!B36&lt;&gt;"",COUNTIFS(C7:C36,"WORK",Z7:Z36,0),"")</f>
        <v/>
      </c>
      <c r="AA39" s="37" t="str">
        <f>IF(Setup!B37&lt;&gt;"",COUNTIFS(C7:C36,"WORK",AA7:AA36,0),"")</f>
        <v/>
      </c>
      <c r="AB39" s="37" t="str">
        <f>IF(Setup!B38&lt;&gt;"",COUNTIFS(C7:C36,"WORK",AB7:AB36,0),"")</f>
        <v/>
      </c>
      <c r="AC39" s="37" t="str">
        <f>IF(Setup!B39&lt;&gt;"",COUNTIFS(C7:C36,"WORK",AC7:AC36,0),"")</f>
        <v/>
      </c>
      <c r="AD39" s="37" t="str">
        <f>IF(Setup!B40&lt;&gt;"",COUNTIFS(C7:C36,"WORK",AD7:AD36,0),"")</f>
        <v/>
      </c>
      <c r="AE39" s="37" t="str">
        <f>IF(Setup!B41&lt;&gt;"",COUNTIFS(C7:C36,"WORK",AE7:AE36,0),"")</f>
        <v/>
      </c>
      <c r="AF39" s="37" t="str">
        <f>IF(Setup!B42&lt;&gt;"",COUNTIFS(C7:C36,"WORK",AF7:AF36,0),"")</f>
        <v/>
      </c>
      <c r="AG39" s="37" t="str">
        <f>IF(Setup!B43&lt;&gt;"",COUNTIFS(C7:C36,"WORK",AG7:AG36,0),"")</f>
        <v/>
      </c>
      <c r="AH39" s="37" t="str">
        <f>IF(Setup!B44&lt;&gt;"",COUNTIFS(C7:C36,"WORK",AH7:AH36,0),"")</f>
        <v/>
      </c>
    </row>
  </sheetData>
  <mergeCells count="3">
    <mergeCell ref="A1:AH1"/>
    <mergeCell ref="A38:D38"/>
    <mergeCell ref="A39:D3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H40"/>
  <sheetViews>
    <sheetView showGridLines="0" tabSelected="1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A23" sqref="A23:XFD23"/>
    </sheetView>
  </sheetViews>
  <sheetFormatPr defaultColWidth="8.5546875" defaultRowHeight="14.4" x14ac:dyDescent="0.3"/>
  <cols>
    <col min="1" max="1" width="13" customWidth="1"/>
    <col min="2" max="2" width="5" customWidth="1"/>
    <col min="3" max="3" width="7" customWidth="1"/>
    <col min="4" max="4" width="9" customWidth="1"/>
    <col min="5" max="34" width="10" customWidth="1"/>
  </cols>
  <sheetData>
    <row r="1" spans="1:34" ht="31.5" customHeight="1" x14ac:dyDescent="0.3">
      <c r="A1" s="54" t="s">
        <v>80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 ht="19.5" customHeight="1" x14ac:dyDescent="0.3">
      <c r="A2" s="1" t="s">
        <v>53</v>
      </c>
      <c r="B2" s="10" t="s">
        <v>81</v>
      </c>
    </row>
    <row r="3" spans="1:34" ht="19.5" customHeight="1" x14ac:dyDescent="0.3">
      <c r="A3" s="1" t="s">
        <v>55</v>
      </c>
      <c r="B3" s="2">
        <f>Setup!B8</f>
        <v>8</v>
      </c>
    </row>
    <row r="4" spans="1:34" ht="19.5" customHeight="1" x14ac:dyDescent="0.3">
      <c r="A4" s="1" t="s">
        <v>56</v>
      </c>
      <c r="B4" s="10">
        <v>216</v>
      </c>
    </row>
    <row r="6" spans="1:34" ht="31.5" customHeight="1" x14ac:dyDescent="0.3">
      <c r="A6" s="20" t="s">
        <v>4</v>
      </c>
      <c r="B6" s="20" t="s">
        <v>57</v>
      </c>
      <c r="C6" s="20" t="s">
        <v>58</v>
      </c>
      <c r="D6" s="20" t="s">
        <v>59</v>
      </c>
      <c r="E6" s="21" t="str">
        <f>Setup!B15</f>
        <v>Sheraz</v>
      </c>
      <c r="F6" s="21" t="str">
        <f>Setup!B16</f>
        <v>Zain</v>
      </c>
      <c r="G6" s="21" t="str">
        <f>Setup!B17</f>
        <v>Yousaf</v>
      </c>
      <c r="H6" s="21" t="str">
        <f>Setup!B18</f>
        <v>Hamza</v>
      </c>
      <c r="I6" s="21" t="str">
        <f>Setup!B19</f>
        <v>Amjad</v>
      </c>
      <c r="J6" s="21" t="str">
        <f>Setup!B20</f>
        <v>Tanveer</v>
      </c>
      <c r="K6" s="21" t="str">
        <f>Setup!B21</f>
        <v>Ali Zaman</v>
      </c>
      <c r="L6" s="21" t="str">
        <f>Setup!B22</f>
        <v>Awais Ali</v>
      </c>
      <c r="M6" s="21" t="str">
        <f>Setup!B23</f>
        <v>Ishtiaq</v>
      </c>
      <c r="N6" s="21" t="str">
        <f>Setup!B24</f>
        <v>Usama bhai</v>
      </c>
      <c r="O6" s="21" t="str">
        <f>Setup!B25</f>
        <v>Ahtisham</v>
      </c>
      <c r="P6" s="21" t="str">
        <f>Setup!B26</f>
        <v>Factory rent</v>
      </c>
      <c r="Q6" s="21" t="str">
        <f>Setup!B27</f>
        <v>Internet bill</v>
      </c>
      <c r="R6" s="21" t="str">
        <f>Setup!B28</f>
        <v>Saqab</v>
      </c>
      <c r="S6" s="21">
        <f>Setup!B29</f>
        <v>0</v>
      </c>
      <c r="T6" s="21">
        <f>Setup!B30</f>
        <v>0</v>
      </c>
      <c r="U6" s="21">
        <f>Setup!B31</f>
        <v>0</v>
      </c>
      <c r="V6" s="21">
        <f>Setup!B32</f>
        <v>0</v>
      </c>
      <c r="W6" s="21">
        <f>Setup!B33</f>
        <v>0</v>
      </c>
      <c r="X6" s="21">
        <f>Setup!B34</f>
        <v>0</v>
      </c>
      <c r="Y6" s="21">
        <f>Setup!B35</f>
        <v>0</v>
      </c>
      <c r="Z6" s="21">
        <f>Setup!B36</f>
        <v>0</v>
      </c>
      <c r="AA6" s="21">
        <f>Setup!B37</f>
        <v>0</v>
      </c>
      <c r="AB6" s="21">
        <f>Setup!B38</f>
        <v>0</v>
      </c>
      <c r="AC6" s="21">
        <f>Setup!B39</f>
        <v>0</v>
      </c>
      <c r="AD6" s="21">
        <f>Setup!B40</f>
        <v>0</v>
      </c>
      <c r="AE6" s="21">
        <f>Setup!B41</f>
        <v>0</v>
      </c>
      <c r="AF6" s="21">
        <f>Setup!B42</f>
        <v>0</v>
      </c>
      <c r="AG6" s="21">
        <f>Setup!B43</f>
        <v>0</v>
      </c>
      <c r="AH6" s="21">
        <f>Setup!B44</f>
        <v>0</v>
      </c>
    </row>
    <row r="7" spans="1:34" ht="16.5" customHeight="1" x14ac:dyDescent="0.3">
      <c r="A7" s="22">
        <v>46204</v>
      </c>
      <c r="B7" s="23" t="s">
        <v>67</v>
      </c>
      <c r="C7" s="24" t="s">
        <v>61</v>
      </c>
      <c r="D7" s="25">
        <v>8</v>
      </c>
      <c r="E7" s="26">
        <v>8</v>
      </c>
      <c r="F7" s="26">
        <v>8</v>
      </c>
      <c r="G7" s="26">
        <v>8</v>
      </c>
      <c r="H7" s="26">
        <v>7.3</v>
      </c>
      <c r="I7" s="26">
        <v>7.45</v>
      </c>
      <c r="J7" s="26">
        <v>8</v>
      </c>
      <c r="K7" s="26">
        <v>8</v>
      </c>
      <c r="L7" s="26"/>
      <c r="M7" s="26"/>
      <c r="N7" s="26">
        <v>8</v>
      </c>
      <c r="O7" s="26"/>
      <c r="P7" s="26">
        <v>8</v>
      </c>
      <c r="Q7" s="26">
        <v>8</v>
      </c>
      <c r="R7" s="26" t="s">
        <v>140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ht="16.5" customHeight="1" x14ac:dyDescent="0.3">
      <c r="A8" s="27">
        <v>46205</v>
      </c>
      <c r="B8" s="28" t="s">
        <v>60</v>
      </c>
      <c r="C8" s="29" t="s">
        <v>61</v>
      </c>
      <c r="D8" s="30">
        <v>8</v>
      </c>
      <c r="E8" s="31">
        <v>8</v>
      </c>
      <c r="F8" s="31">
        <v>8</v>
      </c>
      <c r="G8" s="31">
        <v>3</v>
      </c>
      <c r="H8" s="31">
        <v>8</v>
      </c>
      <c r="I8" s="31">
        <v>7.15</v>
      </c>
      <c r="J8" s="31">
        <v>8</v>
      </c>
      <c r="K8" s="31">
        <v>8</v>
      </c>
      <c r="L8" s="31"/>
      <c r="M8" s="31"/>
      <c r="N8" s="31">
        <v>8</v>
      </c>
      <c r="O8" s="31"/>
      <c r="P8" s="31">
        <v>8</v>
      </c>
      <c r="Q8" s="31">
        <v>8</v>
      </c>
      <c r="R8" s="31">
        <v>7.45</v>
      </c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16.5" customHeight="1" x14ac:dyDescent="0.3">
      <c r="A9" s="22">
        <v>46206</v>
      </c>
      <c r="B9" s="23" t="s">
        <v>62</v>
      </c>
      <c r="C9" s="24" t="s">
        <v>61</v>
      </c>
      <c r="D9" s="25">
        <v>8</v>
      </c>
      <c r="E9" s="26">
        <v>8</v>
      </c>
      <c r="F9" s="26">
        <v>8</v>
      </c>
      <c r="G9" s="26" t="s">
        <v>140</v>
      </c>
      <c r="H9" s="26">
        <v>8</v>
      </c>
      <c r="I9" s="26">
        <v>4.4000000000000004</v>
      </c>
      <c r="J9" s="26">
        <v>8</v>
      </c>
      <c r="K9" s="26">
        <v>8</v>
      </c>
      <c r="L9" s="26"/>
      <c r="M9" s="26"/>
      <c r="N9" s="26">
        <v>8</v>
      </c>
      <c r="O9" s="26"/>
      <c r="P9" s="26">
        <v>8</v>
      </c>
      <c r="Q9" s="26">
        <v>8</v>
      </c>
      <c r="R9" s="26">
        <v>7.45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 ht="16.5" customHeight="1" x14ac:dyDescent="0.3">
      <c r="A10" s="27">
        <v>46207</v>
      </c>
      <c r="B10" s="28" t="s">
        <v>63</v>
      </c>
      <c r="C10" s="29" t="s">
        <v>61</v>
      </c>
      <c r="D10" s="30">
        <v>8</v>
      </c>
      <c r="E10" s="31">
        <v>8</v>
      </c>
      <c r="F10" s="31">
        <v>8</v>
      </c>
      <c r="G10" s="31">
        <v>8</v>
      </c>
      <c r="H10" s="31">
        <v>7.4</v>
      </c>
      <c r="I10" s="31">
        <v>8</v>
      </c>
      <c r="J10" s="31">
        <v>8</v>
      </c>
      <c r="K10" s="31">
        <v>8</v>
      </c>
      <c r="L10" s="31"/>
      <c r="M10" s="31"/>
      <c r="N10" s="31">
        <v>8</v>
      </c>
      <c r="O10" s="31"/>
      <c r="P10" s="31">
        <v>8</v>
      </c>
      <c r="Q10" s="31">
        <v>8</v>
      </c>
      <c r="R10" s="31">
        <v>8</v>
      </c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ht="16.5" customHeight="1" x14ac:dyDescent="0.3">
      <c r="A11" s="32">
        <v>46208</v>
      </c>
      <c r="B11" s="33" t="s">
        <v>64</v>
      </c>
      <c r="C11" s="33" t="s">
        <v>64</v>
      </c>
      <c r="D11" s="34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</row>
    <row r="12" spans="1:34" ht="16.5" customHeight="1" x14ac:dyDescent="0.3">
      <c r="A12" s="27">
        <v>46209</v>
      </c>
      <c r="B12" s="28" t="s">
        <v>65</v>
      </c>
      <c r="C12" s="29" t="s">
        <v>61</v>
      </c>
      <c r="D12" s="30">
        <v>8</v>
      </c>
      <c r="E12" s="31">
        <v>8</v>
      </c>
      <c r="F12" s="31">
        <v>8</v>
      </c>
      <c r="G12" s="31">
        <v>8</v>
      </c>
      <c r="H12" s="31" t="s">
        <v>140</v>
      </c>
      <c r="I12" s="31">
        <v>7.35</v>
      </c>
      <c r="J12" s="31">
        <v>8</v>
      </c>
      <c r="K12" s="31">
        <v>8</v>
      </c>
      <c r="L12" s="31"/>
      <c r="M12" s="31"/>
      <c r="N12" s="31">
        <v>8</v>
      </c>
      <c r="O12" s="31"/>
      <c r="P12" s="31">
        <v>8</v>
      </c>
      <c r="Q12" s="31">
        <v>8</v>
      </c>
      <c r="R12" s="31">
        <v>7.3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4" ht="16.5" customHeight="1" x14ac:dyDescent="0.3">
      <c r="A13" s="22">
        <v>46210</v>
      </c>
      <c r="B13" s="23" t="s">
        <v>66</v>
      </c>
      <c r="C13" s="24" t="s">
        <v>61</v>
      </c>
      <c r="D13" s="25">
        <v>8</v>
      </c>
      <c r="E13" s="26" t="s">
        <v>140</v>
      </c>
      <c r="F13" s="26">
        <v>8</v>
      </c>
      <c r="G13" s="26">
        <v>8</v>
      </c>
      <c r="H13" s="26">
        <v>8</v>
      </c>
      <c r="I13" s="26">
        <v>7.35</v>
      </c>
      <c r="J13" s="26">
        <v>8</v>
      </c>
      <c r="K13" s="26">
        <v>8</v>
      </c>
      <c r="L13" s="26"/>
      <c r="M13" s="26"/>
      <c r="N13" s="26">
        <v>8</v>
      </c>
      <c r="O13" s="26"/>
      <c r="P13" s="26">
        <v>8</v>
      </c>
      <c r="Q13" s="26">
        <v>8</v>
      </c>
      <c r="R13" s="26">
        <v>7.45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ht="16.5" customHeight="1" x14ac:dyDescent="0.3">
      <c r="A14" s="27">
        <v>46211</v>
      </c>
      <c r="B14" s="28" t="s">
        <v>67</v>
      </c>
      <c r="C14" s="29" t="s">
        <v>61</v>
      </c>
      <c r="D14" s="30">
        <v>8</v>
      </c>
      <c r="E14" s="31">
        <v>7.3</v>
      </c>
      <c r="F14" s="31">
        <v>8</v>
      </c>
      <c r="G14" s="31" t="s">
        <v>140</v>
      </c>
      <c r="H14" s="31">
        <v>9.3000000000000007</v>
      </c>
      <c r="I14" s="31" t="s">
        <v>140</v>
      </c>
      <c r="J14" s="31">
        <v>8</v>
      </c>
      <c r="K14" s="31">
        <v>8</v>
      </c>
      <c r="L14" s="31"/>
      <c r="M14" s="31"/>
      <c r="N14" s="31">
        <v>8</v>
      </c>
      <c r="O14" s="31"/>
      <c r="P14" s="31">
        <v>8</v>
      </c>
      <c r="Q14" s="31">
        <v>8</v>
      </c>
      <c r="R14" s="31">
        <v>8</v>
      </c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</row>
    <row r="15" spans="1:34" ht="16.5" customHeight="1" x14ac:dyDescent="0.3">
      <c r="A15" s="22">
        <v>46212</v>
      </c>
      <c r="B15" s="23" t="s">
        <v>60</v>
      </c>
      <c r="C15" s="24" t="s">
        <v>61</v>
      </c>
      <c r="D15" s="25">
        <v>8</v>
      </c>
      <c r="E15" s="26">
        <v>8</v>
      </c>
      <c r="F15" s="26">
        <v>8</v>
      </c>
      <c r="G15" s="26">
        <v>8</v>
      </c>
      <c r="H15" s="26">
        <v>7.4</v>
      </c>
      <c r="I15" s="26">
        <v>8</v>
      </c>
      <c r="J15" s="26">
        <v>8</v>
      </c>
      <c r="K15" s="26">
        <v>8</v>
      </c>
      <c r="L15" s="26"/>
      <c r="M15" s="26"/>
      <c r="N15" s="26">
        <v>8</v>
      </c>
      <c r="O15" s="26"/>
      <c r="P15" s="26">
        <v>8</v>
      </c>
      <c r="Q15" s="26">
        <v>8</v>
      </c>
      <c r="R15" s="26">
        <v>8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16.5" customHeight="1" x14ac:dyDescent="0.3">
      <c r="A16" s="27">
        <v>46213</v>
      </c>
      <c r="B16" s="28" t="s">
        <v>62</v>
      </c>
      <c r="C16" s="29" t="s">
        <v>61</v>
      </c>
      <c r="D16" s="30">
        <v>8</v>
      </c>
      <c r="E16" s="31">
        <v>8</v>
      </c>
      <c r="F16" s="31">
        <v>8</v>
      </c>
      <c r="G16" s="31">
        <v>8</v>
      </c>
      <c r="H16" s="31">
        <v>7.4</v>
      </c>
      <c r="I16" s="31">
        <v>8</v>
      </c>
      <c r="J16" s="31">
        <v>8</v>
      </c>
      <c r="K16" s="31">
        <v>8</v>
      </c>
      <c r="L16" s="31"/>
      <c r="M16" s="31"/>
      <c r="N16" s="31">
        <v>8</v>
      </c>
      <c r="O16" s="31"/>
      <c r="P16" s="31">
        <v>8</v>
      </c>
      <c r="Q16" s="31">
        <v>8</v>
      </c>
      <c r="R16" s="31">
        <v>8</v>
      </c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</row>
    <row r="17" spans="1:34" ht="16.5" customHeight="1" x14ac:dyDescent="0.3">
      <c r="A17" s="22">
        <v>46214</v>
      </c>
      <c r="B17" s="23" t="s">
        <v>63</v>
      </c>
      <c r="C17" s="24" t="s">
        <v>61</v>
      </c>
      <c r="D17" s="25">
        <v>8</v>
      </c>
      <c r="E17" s="26">
        <v>8</v>
      </c>
      <c r="F17" s="26">
        <v>8</v>
      </c>
      <c r="G17" s="26">
        <v>8</v>
      </c>
      <c r="H17" s="26">
        <v>8</v>
      </c>
      <c r="I17" s="26">
        <v>7.35</v>
      </c>
      <c r="J17" s="26">
        <v>8</v>
      </c>
      <c r="K17" s="26">
        <v>8</v>
      </c>
      <c r="L17" s="26"/>
      <c r="M17" s="26"/>
      <c r="N17" s="26">
        <v>8</v>
      </c>
      <c r="O17" s="26"/>
      <c r="P17" s="26">
        <v>8</v>
      </c>
      <c r="Q17" s="26">
        <v>8</v>
      </c>
      <c r="R17" s="26">
        <v>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16.5" customHeight="1" x14ac:dyDescent="0.3">
      <c r="A18" s="32">
        <v>46215</v>
      </c>
      <c r="B18" s="33" t="s">
        <v>64</v>
      </c>
      <c r="C18" s="33" t="s">
        <v>64</v>
      </c>
      <c r="D18" s="34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v>0</v>
      </c>
      <c r="AH18" s="35">
        <v>0</v>
      </c>
    </row>
    <row r="19" spans="1:34" ht="16.5" customHeight="1" x14ac:dyDescent="0.3">
      <c r="A19" s="22">
        <v>46216</v>
      </c>
      <c r="B19" s="23" t="s">
        <v>65</v>
      </c>
      <c r="C19" s="24" t="s">
        <v>61</v>
      </c>
      <c r="D19" s="25">
        <v>8</v>
      </c>
      <c r="E19" s="26">
        <v>8</v>
      </c>
      <c r="F19" s="26">
        <v>8</v>
      </c>
      <c r="G19" s="26" t="s">
        <v>140</v>
      </c>
      <c r="H19" s="26">
        <v>8</v>
      </c>
      <c r="I19" s="26">
        <v>7.4</v>
      </c>
      <c r="J19" s="26">
        <v>8</v>
      </c>
      <c r="K19" s="26">
        <v>8</v>
      </c>
      <c r="L19" s="26"/>
      <c r="M19" s="26"/>
      <c r="N19" s="26">
        <v>8</v>
      </c>
      <c r="O19" s="26"/>
      <c r="P19" s="26">
        <v>8</v>
      </c>
      <c r="Q19" s="26">
        <v>8</v>
      </c>
      <c r="R19" s="26">
        <v>8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16.5" customHeight="1" x14ac:dyDescent="0.3">
      <c r="A20" s="27">
        <v>46217</v>
      </c>
      <c r="B20" s="28" t="s">
        <v>66</v>
      </c>
      <c r="C20" s="29" t="s">
        <v>61</v>
      </c>
      <c r="D20" s="30">
        <v>8</v>
      </c>
      <c r="E20" s="31">
        <v>8</v>
      </c>
      <c r="F20" s="31">
        <v>8</v>
      </c>
      <c r="G20" s="31">
        <v>8</v>
      </c>
      <c r="H20" s="31">
        <v>8</v>
      </c>
      <c r="I20" s="31">
        <v>8</v>
      </c>
      <c r="J20" s="31">
        <v>8</v>
      </c>
      <c r="K20" s="31">
        <v>8</v>
      </c>
      <c r="L20" s="31"/>
      <c r="M20" s="31"/>
      <c r="N20" s="31">
        <v>8</v>
      </c>
      <c r="O20" s="31"/>
      <c r="P20" s="31">
        <v>8</v>
      </c>
      <c r="Q20" s="31">
        <v>8</v>
      </c>
      <c r="R20" s="31">
        <v>8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spans="1:34" ht="16.5" customHeight="1" x14ac:dyDescent="0.3">
      <c r="A21" s="22">
        <v>46218</v>
      </c>
      <c r="B21" s="23" t="s">
        <v>67</v>
      </c>
      <c r="C21" s="24" t="s">
        <v>61</v>
      </c>
      <c r="D21" s="25">
        <v>8</v>
      </c>
      <c r="E21" s="26">
        <v>8</v>
      </c>
      <c r="F21" s="26">
        <v>8</v>
      </c>
      <c r="G21" s="26">
        <v>8</v>
      </c>
      <c r="H21" s="26">
        <v>8</v>
      </c>
      <c r="I21" s="26">
        <v>8</v>
      </c>
      <c r="J21" s="26">
        <v>8</v>
      </c>
      <c r="K21" s="26">
        <v>8</v>
      </c>
      <c r="L21" s="26"/>
      <c r="M21" s="26"/>
      <c r="N21" s="26">
        <v>8</v>
      </c>
      <c r="O21" s="26"/>
      <c r="P21" s="26">
        <v>8</v>
      </c>
      <c r="Q21" s="26">
        <v>8</v>
      </c>
      <c r="R21" s="26">
        <v>8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16.5" customHeight="1" x14ac:dyDescent="0.3">
      <c r="A22" s="27">
        <v>46219</v>
      </c>
      <c r="B22" s="28" t="s">
        <v>60</v>
      </c>
      <c r="C22" s="29" t="s">
        <v>61</v>
      </c>
      <c r="D22" s="30">
        <v>8</v>
      </c>
      <c r="E22" s="31">
        <v>16</v>
      </c>
      <c r="F22" s="31">
        <v>8</v>
      </c>
      <c r="G22" s="31">
        <v>8</v>
      </c>
      <c r="H22" s="31">
        <v>8</v>
      </c>
      <c r="I22" s="31">
        <v>7.5</v>
      </c>
      <c r="J22" s="31">
        <v>8</v>
      </c>
      <c r="K22" s="31">
        <v>8</v>
      </c>
      <c r="L22" s="31"/>
      <c r="M22" s="31"/>
      <c r="N22" s="31">
        <v>8</v>
      </c>
      <c r="O22" s="31"/>
      <c r="P22" s="31">
        <v>8</v>
      </c>
      <c r="Q22" s="31">
        <v>8</v>
      </c>
      <c r="R22" s="31">
        <v>8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 spans="1:34" ht="16.5" customHeight="1" x14ac:dyDescent="0.3">
      <c r="A23" s="22">
        <v>46220</v>
      </c>
      <c r="B23" s="23" t="s">
        <v>62</v>
      </c>
      <c r="C23" s="24" t="s">
        <v>61</v>
      </c>
      <c r="D23" s="25">
        <v>8</v>
      </c>
      <c r="E23" s="26">
        <v>16</v>
      </c>
      <c r="F23" s="26">
        <v>8</v>
      </c>
      <c r="G23" s="26">
        <v>8</v>
      </c>
      <c r="H23" s="26">
        <v>8</v>
      </c>
      <c r="I23" s="26">
        <v>5</v>
      </c>
      <c r="J23" s="26">
        <v>8</v>
      </c>
      <c r="K23" s="26">
        <v>8</v>
      </c>
      <c r="L23" s="26"/>
      <c r="M23" s="26"/>
      <c r="N23" s="26">
        <v>8</v>
      </c>
      <c r="O23" s="26"/>
      <c r="P23" s="26">
        <v>8</v>
      </c>
      <c r="Q23" s="26">
        <v>8</v>
      </c>
      <c r="R23" s="26">
        <v>7.5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16.5" customHeight="1" x14ac:dyDescent="0.3">
      <c r="A24" s="27">
        <v>46221</v>
      </c>
      <c r="B24" s="28" t="s">
        <v>63</v>
      </c>
      <c r="C24" s="29" t="s">
        <v>61</v>
      </c>
      <c r="D24" s="30">
        <v>8</v>
      </c>
      <c r="E24" s="31">
        <v>16</v>
      </c>
      <c r="F24" s="31">
        <v>8</v>
      </c>
      <c r="G24" s="31">
        <v>8</v>
      </c>
      <c r="H24" s="31">
        <v>7.45</v>
      </c>
      <c r="I24" s="31">
        <v>7.5</v>
      </c>
      <c r="J24" s="31">
        <v>8</v>
      </c>
      <c r="K24" s="31">
        <v>8</v>
      </c>
      <c r="L24" s="31"/>
      <c r="M24" s="31"/>
      <c r="N24" s="31">
        <v>8</v>
      </c>
      <c r="O24" s="31"/>
      <c r="P24" s="31">
        <v>8</v>
      </c>
      <c r="Q24" s="31">
        <v>8</v>
      </c>
      <c r="R24" s="31">
        <v>7.5</v>
      </c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</row>
    <row r="25" spans="1:34" ht="16.5" customHeight="1" x14ac:dyDescent="0.3">
      <c r="A25" s="32">
        <v>46222</v>
      </c>
      <c r="B25" s="33" t="s">
        <v>64</v>
      </c>
      <c r="C25" s="33" t="s">
        <v>64</v>
      </c>
      <c r="D25" s="34">
        <v>0</v>
      </c>
      <c r="E25" s="35">
        <v>8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</row>
    <row r="26" spans="1:34" ht="16.5" customHeight="1" x14ac:dyDescent="0.3">
      <c r="A26" s="27">
        <v>46223</v>
      </c>
      <c r="B26" s="28" t="s">
        <v>65</v>
      </c>
      <c r="C26" s="29" t="s">
        <v>61</v>
      </c>
      <c r="D26" s="30">
        <v>8</v>
      </c>
      <c r="E26" s="31">
        <v>16</v>
      </c>
      <c r="F26" s="31">
        <v>8</v>
      </c>
      <c r="G26" s="31" t="s">
        <v>140</v>
      </c>
      <c r="H26" s="31">
        <v>7.55</v>
      </c>
      <c r="I26" s="31">
        <v>7.45</v>
      </c>
      <c r="J26" s="31">
        <v>8</v>
      </c>
      <c r="K26" s="31">
        <v>8</v>
      </c>
      <c r="L26" s="31"/>
      <c r="M26" s="31"/>
      <c r="N26" s="31">
        <v>8</v>
      </c>
      <c r="O26" s="31"/>
      <c r="P26" s="31">
        <v>8</v>
      </c>
      <c r="Q26" s="31">
        <v>8</v>
      </c>
      <c r="R26" s="31" t="s">
        <v>140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 spans="1:34" ht="16.5" customHeight="1" x14ac:dyDescent="0.3">
      <c r="A27" s="22">
        <v>46224</v>
      </c>
      <c r="B27" s="23" t="s">
        <v>66</v>
      </c>
      <c r="C27" s="24" t="s">
        <v>61</v>
      </c>
      <c r="D27" s="25">
        <v>8</v>
      </c>
      <c r="E27" s="26">
        <v>8</v>
      </c>
      <c r="F27" s="26">
        <v>8</v>
      </c>
      <c r="G27" s="26">
        <v>8</v>
      </c>
      <c r="H27" s="26">
        <v>8</v>
      </c>
      <c r="I27" s="26">
        <v>8</v>
      </c>
      <c r="J27" s="26">
        <v>8</v>
      </c>
      <c r="K27" s="26">
        <v>8</v>
      </c>
      <c r="L27" s="26"/>
      <c r="M27" s="26"/>
      <c r="N27" s="26">
        <v>8</v>
      </c>
      <c r="O27" s="26"/>
      <c r="P27" s="26">
        <v>8</v>
      </c>
      <c r="Q27" s="26">
        <v>8</v>
      </c>
      <c r="R27" s="26">
        <v>8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16.5" customHeight="1" x14ac:dyDescent="0.3">
      <c r="A28" s="27">
        <v>46225</v>
      </c>
      <c r="B28" s="28" t="s">
        <v>67</v>
      </c>
      <c r="C28" s="29" t="s">
        <v>61</v>
      </c>
      <c r="D28" s="30">
        <v>8</v>
      </c>
      <c r="E28" s="31">
        <v>8</v>
      </c>
      <c r="F28" s="31">
        <v>8</v>
      </c>
      <c r="G28" s="31">
        <v>3</v>
      </c>
      <c r="H28" s="31">
        <v>8</v>
      </c>
      <c r="I28" s="31" t="s">
        <v>140</v>
      </c>
      <c r="J28" s="31">
        <v>8</v>
      </c>
      <c r="K28" s="31">
        <v>8</v>
      </c>
      <c r="L28" s="31"/>
      <c r="M28" s="31"/>
      <c r="N28" s="31">
        <v>8</v>
      </c>
      <c r="O28" s="31"/>
      <c r="P28" s="31">
        <v>8</v>
      </c>
      <c r="Q28" s="31">
        <v>8</v>
      </c>
      <c r="R28" s="31">
        <v>8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</row>
    <row r="29" spans="1:34" ht="16.5" customHeight="1" x14ac:dyDescent="0.3">
      <c r="A29" s="22">
        <v>46226</v>
      </c>
      <c r="B29" s="23" t="s">
        <v>60</v>
      </c>
      <c r="C29" s="24" t="s">
        <v>61</v>
      </c>
      <c r="D29" s="25">
        <v>8</v>
      </c>
      <c r="E29" s="26" t="s">
        <v>140</v>
      </c>
      <c r="F29" s="26">
        <v>8</v>
      </c>
      <c r="G29" s="26" t="s">
        <v>140</v>
      </c>
      <c r="H29" s="26" t="s">
        <v>140</v>
      </c>
      <c r="I29" s="26" t="s">
        <v>140</v>
      </c>
      <c r="J29" s="26">
        <v>8</v>
      </c>
      <c r="K29" s="26">
        <v>8</v>
      </c>
      <c r="L29" s="26"/>
      <c r="M29" s="26"/>
      <c r="N29" s="26">
        <v>8</v>
      </c>
      <c r="O29" s="26"/>
      <c r="P29" s="26">
        <v>8</v>
      </c>
      <c r="Q29" s="26">
        <v>8</v>
      </c>
      <c r="R29" s="26">
        <v>8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ht="16.5" customHeight="1" x14ac:dyDescent="0.3">
      <c r="A30" s="27">
        <v>46227</v>
      </c>
      <c r="B30" s="28" t="s">
        <v>62</v>
      </c>
      <c r="C30" s="29" t="s">
        <v>61</v>
      </c>
      <c r="D30" s="30">
        <v>8</v>
      </c>
      <c r="E30" s="31">
        <v>8</v>
      </c>
      <c r="F30" s="31">
        <v>8</v>
      </c>
      <c r="G30" s="31" t="s">
        <v>140</v>
      </c>
      <c r="H30" s="31">
        <v>7.5</v>
      </c>
      <c r="I30" s="31">
        <v>8</v>
      </c>
      <c r="J30" s="31">
        <v>8</v>
      </c>
      <c r="K30" s="31">
        <v>8</v>
      </c>
      <c r="L30" s="31"/>
      <c r="M30" s="31"/>
      <c r="N30" s="31">
        <v>8</v>
      </c>
      <c r="O30" s="31"/>
      <c r="P30" s="31">
        <v>8</v>
      </c>
      <c r="Q30" s="31">
        <v>8</v>
      </c>
      <c r="R30" s="31">
        <v>8</v>
      </c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 spans="1:34" ht="16.5" customHeight="1" x14ac:dyDescent="0.3">
      <c r="A31" s="22">
        <v>46228</v>
      </c>
      <c r="B31" s="23" t="s">
        <v>63</v>
      </c>
      <c r="C31" s="24" t="s">
        <v>61</v>
      </c>
      <c r="D31" s="25">
        <v>8</v>
      </c>
      <c r="E31" s="26">
        <v>4.3</v>
      </c>
      <c r="F31" s="26">
        <v>8</v>
      </c>
      <c r="G31" s="26" t="s">
        <v>140</v>
      </c>
      <c r="H31" s="26">
        <v>8.3000000000000007</v>
      </c>
      <c r="I31" s="26">
        <v>8</v>
      </c>
      <c r="J31" s="26">
        <v>8</v>
      </c>
      <c r="K31" s="26">
        <v>8</v>
      </c>
      <c r="L31" s="26"/>
      <c r="M31" s="26"/>
      <c r="N31" s="26">
        <v>8</v>
      </c>
      <c r="O31" s="26"/>
      <c r="P31" s="26">
        <v>8</v>
      </c>
      <c r="Q31" s="26">
        <v>8</v>
      </c>
      <c r="R31" s="26">
        <v>8.1999999999999993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34" ht="16.5" customHeight="1" x14ac:dyDescent="0.3">
      <c r="A32" s="32">
        <v>46229</v>
      </c>
      <c r="B32" s="33" t="s">
        <v>64</v>
      </c>
      <c r="C32" s="33" t="s">
        <v>64</v>
      </c>
      <c r="D32" s="34">
        <v>0</v>
      </c>
      <c r="E32" s="35">
        <v>0</v>
      </c>
      <c r="F32" s="35">
        <v>8</v>
      </c>
      <c r="G32" s="35">
        <v>0</v>
      </c>
      <c r="H32" s="35">
        <v>0</v>
      </c>
      <c r="I32" s="35">
        <v>8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</row>
    <row r="33" spans="1:34" ht="16.5" customHeight="1" x14ac:dyDescent="0.3">
      <c r="A33" s="22">
        <v>46230</v>
      </c>
      <c r="B33" s="23" t="s">
        <v>65</v>
      </c>
      <c r="C33" s="24" t="s">
        <v>61</v>
      </c>
      <c r="D33" s="25">
        <v>8</v>
      </c>
      <c r="E33" s="26">
        <v>8</v>
      </c>
      <c r="F33" s="26">
        <v>8</v>
      </c>
      <c r="G33" s="26">
        <v>8</v>
      </c>
      <c r="H33" s="26">
        <v>7.55</v>
      </c>
      <c r="I33" s="26">
        <v>8</v>
      </c>
      <c r="J33" s="26">
        <v>8</v>
      </c>
      <c r="K33" s="26">
        <v>8</v>
      </c>
      <c r="L33" s="26"/>
      <c r="M33" s="26"/>
      <c r="N33" s="26">
        <v>8</v>
      </c>
      <c r="O33" s="26"/>
      <c r="P33" s="26">
        <v>8</v>
      </c>
      <c r="Q33" s="26">
        <v>8</v>
      </c>
      <c r="R33" s="26">
        <v>7.45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ht="16.5" customHeight="1" x14ac:dyDescent="0.3">
      <c r="A34" s="27">
        <v>46231</v>
      </c>
      <c r="B34" s="28" t="s">
        <v>66</v>
      </c>
      <c r="C34" s="29" t="s">
        <v>61</v>
      </c>
      <c r="D34" s="30">
        <v>8</v>
      </c>
      <c r="E34" s="31" t="s">
        <v>140</v>
      </c>
      <c r="F34" s="31">
        <v>8</v>
      </c>
      <c r="G34" s="31" t="s">
        <v>140</v>
      </c>
      <c r="H34" s="31" t="s">
        <v>140</v>
      </c>
      <c r="I34" s="31">
        <v>8</v>
      </c>
      <c r="J34" s="31">
        <v>8</v>
      </c>
      <c r="K34" s="31">
        <v>8</v>
      </c>
      <c r="L34" s="31"/>
      <c r="M34" s="31"/>
      <c r="N34" s="31">
        <v>8</v>
      </c>
      <c r="O34" s="31"/>
      <c r="P34" s="31">
        <v>8</v>
      </c>
      <c r="Q34" s="31">
        <v>8</v>
      </c>
      <c r="R34" s="31">
        <v>8</v>
      </c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</row>
    <row r="35" spans="1:34" ht="16.5" customHeight="1" x14ac:dyDescent="0.3">
      <c r="A35" s="22">
        <v>46232</v>
      </c>
      <c r="B35" s="23" t="s">
        <v>67</v>
      </c>
      <c r="C35" s="24" t="s">
        <v>61</v>
      </c>
      <c r="D35" s="25">
        <v>8</v>
      </c>
      <c r="E35" s="26">
        <v>8</v>
      </c>
      <c r="F35" s="26">
        <v>9</v>
      </c>
      <c r="G35" s="26" t="s">
        <v>140</v>
      </c>
      <c r="H35" s="26">
        <v>9.4499999999999993</v>
      </c>
      <c r="I35" s="26">
        <v>8</v>
      </c>
      <c r="J35" s="26">
        <v>8</v>
      </c>
      <c r="K35" s="26">
        <v>8</v>
      </c>
      <c r="L35" s="26"/>
      <c r="M35" s="26"/>
      <c r="N35" s="26">
        <v>8</v>
      </c>
      <c r="O35" s="26"/>
      <c r="P35" s="26">
        <v>8</v>
      </c>
      <c r="Q35" s="26">
        <v>8</v>
      </c>
      <c r="R35" s="26">
        <v>8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ht="16.5" customHeight="1" x14ac:dyDescent="0.3">
      <c r="A36" s="27">
        <v>46233</v>
      </c>
      <c r="B36" s="28" t="s">
        <v>60</v>
      </c>
      <c r="C36" s="29" t="s">
        <v>61</v>
      </c>
      <c r="D36" s="30">
        <v>8</v>
      </c>
      <c r="E36" s="31">
        <v>7.45</v>
      </c>
      <c r="F36" s="31">
        <v>8</v>
      </c>
      <c r="G36" s="31" t="s">
        <v>140</v>
      </c>
      <c r="H36" s="31">
        <v>8</v>
      </c>
      <c r="I36" s="31">
        <v>8</v>
      </c>
      <c r="J36" s="31">
        <v>8</v>
      </c>
      <c r="K36" s="31">
        <v>8</v>
      </c>
      <c r="L36" s="31"/>
      <c r="M36" s="31"/>
      <c r="N36" s="31">
        <v>8</v>
      </c>
      <c r="O36" s="31"/>
      <c r="P36" s="31">
        <v>8</v>
      </c>
      <c r="Q36" s="31">
        <v>8</v>
      </c>
      <c r="R36" s="31">
        <v>8.3000000000000007</v>
      </c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</row>
    <row r="37" spans="1:34" ht="16.5" customHeight="1" x14ac:dyDescent="0.3">
      <c r="A37" s="22">
        <v>46234</v>
      </c>
      <c r="B37" s="23" t="s">
        <v>62</v>
      </c>
      <c r="C37" s="24" t="s">
        <v>61</v>
      </c>
      <c r="D37" s="25">
        <v>8</v>
      </c>
      <c r="E37" s="26">
        <v>8</v>
      </c>
      <c r="F37" s="26">
        <v>8</v>
      </c>
      <c r="G37" s="26">
        <v>8</v>
      </c>
      <c r="H37" s="26">
        <v>8</v>
      </c>
      <c r="I37" s="26">
        <v>8</v>
      </c>
      <c r="J37" s="26">
        <v>8</v>
      </c>
      <c r="K37" s="26">
        <v>8</v>
      </c>
      <c r="L37" s="26"/>
      <c r="M37" s="26"/>
      <c r="N37" s="26">
        <v>8</v>
      </c>
      <c r="O37" s="26"/>
      <c r="P37" s="26">
        <v>8</v>
      </c>
      <c r="Q37" s="26">
        <v>8</v>
      </c>
      <c r="R37" s="26">
        <v>8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9" spans="1:34" ht="21.75" customHeight="1" x14ac:dyDescent="0.3">
      <c r="A39" s="60" t="s">
        <v>68</v>
      </c>
      <c r="B39" s="60"/>
      <c r="C39" s="60"/>
      <c r="D39" s="60"/>
      <c r="E39" s="36">
        <f>IF(Setup!B15&lt;&gt;"",SUM(E7:E37),"")</f>
        <v>227.05</v>
      </c>
      <c r="F39" s="36">
        <f>IF(Setup!B16&lt;&gt;"",SUM(F7:F37),"")</f>
        <v>225</v>
      </c>
      <c r="G39" s="36">
        <f>IF(Setup!B17&lt;&gt;"",SUM(G7:G37),"")</f>
        <v>126</v>
      </c>
      <c r="H39" s="36">
        <f>IF(Setup!B18&lt;&gt;"",SUM(H7:H37),"")</f>
        <v>190.60000000000002</v>
      </c>
      <c r="I39" s="36">
        <f>IF(Setup!B19&lt;&gt;"",SUM(I7:I37),"")</f>
        <v>187.9</v>
      </c>
      <c r="J39" s="36">
        <f>IF(Setup!B20&lt;&gt;"",SUM(J7:J37),"")</f>
        <v>216</v>
      </c>
      <c r="K39" s="36">
        <f>IF(Setup!B21&lt;&gt;"",SUM(K7:K37),"")</f>
        <v>216</v>
      </c>
      <c r="L39" s="36">
        <f>IF(Setup!B22&lt;&gt;"",SUM(L7:L37),"")</f>
        <v>0</v>
      </c>
      <c r="M39" s="36">
        <f>IF(Setup!B23&lt;&gt;"",SUM(M7:M37),"")</f>
        <v>0</v>
      </c>
      <c r="N39" s="36">
        <f>IF(Setup!B24&lt;&gt;"",SUM(N7:N37),"")</f>
        <v>216</v>
      </c>
      <c r="O39" s="36">
        <f>IF(Setup!B25&lt;&gt;"",SUM(O7:O37),"")</f>
        <v>0</v>
      </c>
      <c r="P39" s="36">
        <f>IF(Setup!B26&lt;&gt;"",SUM(P7:P37),"")</f>
        <v>216</v>
      </c>
      <c r="Q39" s="36">
        <f>IF(Setup!B27&lt;&gt;"",SUM(Q7:Q37),"")</f>
        <v>216</v>
      </c>
      <c r="R39" s="36">
        <f>IF(Setup!B28&lt;&gt;"",SUM(R7:R37),"")</f>
        <v>196.6</v>
      </c>
      <c r="S39" s="36" t="str">
        <f>IF(Setup!B29&lt;&gt;"",SUM(S7:S37),"")</f>
        <v/>
      </c>
      <c r="T39" s="36" t="str">
        <f>IF(Setup!B30&lt;&gt;"",SUM(T7:T37),"")</f>
        <v/>
      </c>
      <c r="U39" s="36" t="str">
        <f>IF(Setup!B31&lt;&gt;"",SUM(U7:U37),"")</f>
        <v/>
      </c>
      <c r="V39" s="36" t="str">
        <f>IF(Setup!B32&lt;&gt;"",SUM(V7:V37),"")</f>
        <v/>
      </c>
      <c r="W39" s="36" t="str">
        <f>IF(Setup!B33&lt;&gt;"",SUM(W7:W37),"")</f>
        <v/>
      </c>
      <c r="X39" s="36" t="str">
        <f>IF(Setup!B34&lt;&gt;"",SUM(X7:X37),"")</f>
        <v/>
      </c>
      <c r="Y39" s="36" t="str">
        <f>IF(Setup!B35&lt;&gt;"",SUM(Y7:Y37),"")</f>
        <v/>
      </c>
      <c r="Z39" s="36" t="str">
        <f>IF(Setup!B36&lt;&gt;"",SUM(Z7:Z37),"")</f>
        <v/>
      </c>
      <c r="AA39" s="36" t="str">
        <f>IF(Setup!B37&lt;&gt;"",SUM(AA7:AA37),"")</f>
        <v/>
      </c>
      <c r="AB39" s="36" t="str">
        <f>IF(Setup!B38&lt;&gt;"",SUM(AB7:AB37),"")</f>
        <v/>
      </c>
      <c r="AC39" s="36" t="str">
        <f>IF(Setup!B39&lt;&gt;"",SUM(AC7:AC37),"")</f>
        <v/>
      </c>
      <c r="AD39" s="36" t="str">
        <f>IF(Setup!B40&lt;&gt;"",SUM(AD7:AD37),"")</f>
        <v/>
      </c>
      <c r="AE39" s="36" t="str">
        <f>IF(Setup!B41&lt;&gt;"",SUM(AE7:AE37),"")</f>
        <v/>
      </c>
      <c r="AF39" s="36" t="str">
        <f>IF(Setup!B42&lt;&gt;"",SUM(AF7:AF37),"")</f>
        <v/>
      </c>
      <c r="AG39" s="36" t="str">
        <f>IF(Setup!B43&lt;&gt;"",SUM(AG7:AG37),"")</f>
        <v/>
      </c>
      <c r="AH39" s="36" t="str">
        <f>IF(Setup!B44&lt;&gt;"",SUM(AH7:AH37),"")</f>
        <v/>
      </c>
    </row>
    <row r="40" spans="1:34" ht="19.5" customHeight="1" x14ac:dyDescent="0.3">
      <c r="A40" s="61" t="s">
        <v>69</v>
      </c>
      <c r="B40" s="61"/>
      <c r="C40" s="61"/>
      <c r="D40" s="61"/>
      <c r="E40" s="37">
        <f>IF(Setup!B15&lt;&gt;"",COUNTIFS(C7:C37,"WORK",E7:E37,0),"")</f>
        <v>0</v>
      </c>
      <c r="F40" s="37">
        <f>IF(Setup!B16&lt;&gt;"",COUNTIFS(C7:C37,"WORK",F7:F37,0),"")</f>
        <v>0</v>
      </c>
      <c r="G40" s="37">
        <f>IF(Setup!B17&lt;&gt;"",COUNTIFS(C7:C37,"WORK",G7:G37,0),"")</f>
        <v>0</v>
      </c>
      <c r="H40" s="37">
        <f>IF(Setup!B18&lt;&gt;"",COUNTIFS(C7:C37,"WORK",H7:H37,0),"")</f>
        <v>0</v>
      </c>
      <c r="I40" s="37">
        <f>IF(Setup!B19&lt;&gt;"",COUNTIFS(C7:C37,"WORK",I7:I37,0),"")</f>
        <v>0</v>
      </c>
      <c r="J40" s="37">
        <f>IF(Setup!B20&lt;&gt;"",COUNTIFS(C7:C37,"WORK",J7:J37,0),"")</f>
        <v>0</v>
      </c>
      <c r="K40" s="37">
        <f>IF(Setup!B21&lt;&gt;"",COUNTIFS(C7:C37,"WORK",K7:K37,0),"")</f>
        <v>0</v>
      </c>
      <c r="L40" s="37">
        <f>IF(Setup!B22&lt;&gt;"",COUNTIFS(C7:C37,"WORK",L7:L37,0),"")</f>
        <v>0</v>
      </c>
      <c r="M40" s="37">
        <f>IF(Setup!B23&lt;&gt;"",COUNTIFS(C7:C37,"WORK",M7:M37,0),"")</f>
        <v>0</v>
      </c>
      <c r="N40" s="37">
        <f>IF(Setup!B24&lt;&gt;"",COUNTIFS(C7:C37,"WORK",N7:N37,0),"")</f>
        <v>0</v>
      </c>
      <c r="O40" s="37">
        <f>IF(Setup!B25&lt;&gt;"",COUNTIFS(C7:C37,"WORK",O7:O37,0),"")</f>
        <v>0</v>
      </c>
      <c r="P40" s="37">
        <f>IF(Setup!B26&lt;&gt;"",COUNTIFS(C7:C37,"WORK",P7:P37,0),"")</f>
        <v>0</v>
      </c>
      <c r="Q40" s="37">
        <f>IF(Setup!B27&lt;&gt;"",COUNTIFS(C7:C37,"WORK",Q7:Q37,0),"")</f>
        <v>0</v>
      </c>
      <c r="R40" s="37">
        <f>IF(Setup!B28&lt;&gt;"",COUNTIFS(C7:C37,"WORK",R7:R37,0),"")</f>
        <v>0</v>
      </c>
      <c r="S40" s="37" t="str">
        <f>IF(Setup!B29&lt;&gt;"",COUNTIFS(C7:C37,"WORK",S7:S37,0),"")</f>
        <v/>
      </c>
      <c r="T40" s="37" t="str">
        <f>IF(Setup!B30&lt;&gt;"",COUNTIFS(C7:C37,"WORK",T7:T37,0),"")</f>
        <v/>
      </c>
      <c r="U40" s="37" t="str">
        <f>IF(Setup!B31&lt;&gt;"",COUNTIFS(C7:C37,"WORK",U7:U37,0),"")</f>
        <v/>
      </c>
      <c r="V40" s="37" t="str">
        <f>IF(Setup!B32&lt;&gt;"",COUNTIFS(C7:C37,"WORK",V7:V37,0),"")</f>
        <v/>
      </c>
      <c r="W40" s="37" t="str">
        <f>IF(Setup!B33&lt;&gt;"",COUNTIFS(C7:C37,"WORK",W7:W37,0),"")</f>
        <v/>
      </c>
      <c r="X40" s="37" t="str">
        <f>IF(Setup!B34&lt;&gt;"",COUNTIFS(C7:C37,"WORK",X7:X37,0),"")</f>
        <v/>
      </c>
      <c r="Y40" s="37" t="str">
        <f>IF(Setup!B35&lt;&gt;"",COUNTIFS(C7:C37,"WORK",Y7:Y37,0),"")</f>
        <v/>
      </c>
      <c r="Z40" s="37" t="str">
        <f>IF(Setup!B36&lt;&gt;"",COUNTIFS(C7:C37,"WORK",Z7:Z37,0),"")</f>
        <v/>
      </c>
      <c r="AA40" s="37" t="str">
        <f>IF(Setup!B37&lt;&gt;"",COUNTIFS(C7:C37,"WORK",AA7:AA37,0),"")</f>
        <v/>
      </c>
      <c r="AB40" s="37" t="str">
        <f>IF(Setup!B38&lt;&gt;"",COUNTIFS(C7:C37,"WORK",AB7:AB37,0),"")</f>
        <v/>
      </c>
      <c r="AC40" s="37" t="str">
        <f>IF(Setup!B39&lt;&gt;"",COUNTIFS(C7:C37,"WORK",AC7:AC37,0),"")</f>
        <v/>
      </c>
      <c r="AD40" s="37" t="str">
        <f>IF(Setup!B40&lt;&gt;"",COUNTIFS(C7:C37,"WORK",AD7:AD37,0),"")</f>
        <v/>
      </c>
      <c r="AE40" s="37" t="str">
        <f>IF(Setup!B41&lt;&gt;"",COUNTIFS(C7:C37,"WORK",AE7:AE37,0),"")</f>
        <v/>
      </c>
      <c r="AF40" s="37" t="str">
        <f>IF(Setup!B42&lt;&gt;"",COUNTIFS(C7:C37,"WORK",AF7:AF37,0),"")</f>
        <v/>
      </c>
      <c r="AG40" s="37" t="str">
        <f>IF(Setup!B43&lt;&gt;"",COUNTIFS(C7:C37,"WORK",AG7:AG37,0),"")</f>
        <v/>
      </c>
      <c r="AH40" s="37" t="str">
        <f>IF(Setup!B44&lt;&gt;"",COUNTIFS(C7:C37,"WORK",AH7:AH37,0),"")</f>
        <v/>
      </c>
    </row>
  </sheetData>
  <mergeCells count="3">
    <mergeCell ref="A1:AH1"/>
    <mergeCell ref="A39:D39"/>
    <mergeCell ref="A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H40"/>
  <sheetViews>
    <sheetView showGridLines="0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sqref="A1:AH1"/>
    </sheetView>
  </sheetViews>
  <sheetFormatPr defaultColWidth="8.5546875" defaultRowHeight="14.4" x14ac:dyDescent="0.3"/>
  <cols>
    <col min="1" max="1" width="13" customWidth="1"/>
    <col min="2" max="2" width="5" customWidth="1"/>
    <col min="3" max="3" width="7" customWidth="1"/>
    <col min="4" max="4" width="9" customWidth="1"/>
    <col min="5" max="34" width="10" customWidth="1"/>
  </cols>
  <sheetData>
    <row r="1" spans="1:34" ht="31.5" customHeight="1" x14ac:dyDescent="0.3">
      <c r="A1" s="54" t="s">
        <v>82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 ht="19.5" customHeight="1" x14ac:dyDescent="0.3">
      <c r="A2" s="1" t="s">
        <v>53</v>
      </c>
      <c r="B2" s="10" t="s">
        <v>83</v>
      </c>
    </row>
    <row r="3" spans="1:34" ht="19.5" customHeight="1" x14ac:dyDescent="0.3">
      <c r="A3" s="1" t="s">
        <v>55</v>
      </c>
      <c r="B3" s="2">
        <f>Setup!B8</f>
        <v>8</v>
      </c>
    </row>
    <row r="4" spans="1:34" ht="19.5" customHeight="1" x14ac:dyDescent="0.3">
      <c r="A4" s="1" t="s">
        <v>56</v>
      </c>
      <c r="B4" s="10">
        <v>208</v>
      </c>
    </row>
    <row r="6" spans="1:34" ht="31.5" customHeight="1" x14ac:dyDescent="0.3">
      <c r="A6" s="20" t="s">
        <v>4</v>
      </c>
      <c r="B6" s="20" t="s">
        <v>57</v>
      </c>
      <c r="C6" s="20" t="s">
        <v>58</v>
      </c>
      <c r="D6" s="20" t="s">
        <v>59</v>
      </c>
      <c r="E6" s="21" t="str">
        <f>Setup!B15</f>
        <v>Sheraz</v>
      </c>
      <c r="F6" s="21" t="str">
        <f>Setup!B16</f>
        <v>Zain</v>
      </c>
      <c r="G6" s="21" t="str">
        <f>Setup!B17</f>
        <v>Yousaf</v>
      </c>
      <c r="H6" s="21" t="str">
        <f>Setup!B18</f>
        <v>Hamza</v>
      </c>
      <c r="I6" s="21" t="str">
        <f>Setup!B19</f>
        <v>Amjad</v>
      </c>
      <c r="J6" s="21" t="str">
        <f>Setup!B20</f>
        <v>Tanveer</v>
      </c>
      <c r="K6" s="21" t="str">
        <f>Setup!B21</f>
        <v>Ali Zaman</v>
      </c>
      <c r="L6" s="21" t="str">
        <f>Setup!B22</f>
        <v>Awais Ali</v>
      </c>
      <c r="M6" s="21" t="str">
        <f>Setup!B23</f>
        <v>Ishtiaq</v>
      </c>
      <c r="N6" s="21" t="str">
        <f>Setup!B24</f>
        <v>Usama bhai</v>
      </c>
      <c r="O6" s="21" t="str">
        <f>Setup!B25</f>
        <v>Ahtisham</v>
      </c>
      <c r="P6" s="21" t="str">
        <f>Setup!B26</f>
        <v>Factory rent</v>
      </c>
      <c r="Q6" s="21" t="str">
        <f>Setup!B27</f>
        <v>Internet bill</v>
      </c>
      <c r="R6" s="21" t="str">
        <f>Setup!B28</f>
        <v>Saqab</v>
      </c>
      <c r="S6" s="21">
        <f>Setup!B29</f>
        <v>0</v>
      </c>
      <c r="T6" s="21">
        <f>Setup!B30</f>
        <v>0</v>
      </c>
      <c r="U6" s="21">
        <f>Setup!B31</f>
        <v>0</v>
      </c>
      <c r="V6" s="21">
        <f>Setup!B32</f>
        <v>0</v>
      </c>
      <c r="W6" s="21">
        <f>Setup!B33</f>
        <v>0</v>
      </c>
      <c r="X6" s="21">
        <f>Setup!B34</f>
        <v>0</v>
      </c>
      <c r="Y6" s="21">
        <f>Setup!B35</f>
        <v>0</v>
      </c>
      <c r="Z6" s="21">
        <f>Setup!B36</f>
        <v>0</v>
      </c>
      <c r="AA6" s="21">
        <f>Setup!B37</f>
        <v>0</v>
      </c>
      <c r="AB6" s="21">
        <f>Setup!B38</f>
        <v>0</v>
      </c>
      <c r="AC6" s="21">
        <f>Setup!B39</f>
        <v>0</v>
      </c>
      <c r="AD6" s="21">
        <f>Setup!B40</f>
        <v>0</v>
      </c>
      <c r="AE6" s="21">
        <f>Setup!B41</f>
        <v>0</v>
      </c>
      <c r="AF6" s="21">
        <f>Setup!B42</f>
        <v>0</v>
      </c>
      <c r="AG6" s="21">
        <f>Setup!B43</f>
        <v>0</v>
      </c>
      <c r="AH6" s="21">
        <f>Setup!B44</f>
        <v>0</v>
      </c>
    </row>
    <row r="7" spans="1:34" ht="16.5" customHeight="1" x14ac:dyDescent="0.3">
      <c r="A7" s="22">
        <v>46235</v>
      </c>
      <c r="B7" s="23" t="s">
        <v>63</v>
      </c>
      <c r="C7" s="24" t="s">
        <v>61</v>
      </c>
      <c r="D7" s="25">
        <v>8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ht="16.5" customHeight="1" x14ac:dyDescent="0.3">
      <c r="A8" s="32">
        <v>46236</v>
      </c>
      <c r="B8" s="33" t="s">
        <v>64</v>
      </c>
      <c r="C8" s="33" t="s">
        <v>64</v>
      </c>
      <c r="D8" s="34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0</v>
      </c>
    </row>
    <row r="9" spans="1:34" ht="16.5" customHeight="1" x14ac:dyDescent="0.3">
      <c r="A9" s="22">
        <v>46237</v>
      </c>
      <c r="B9" s="23" t="s">
        <v>65</v>
      </c>
      <c r="C9" s="24" t="s">
        <v>61</v>
      </c>
      <c r="D9" s="25">
        <v>8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 ht="16.5" customHeight="1" x14ac:dyDescent="0.3">
      <c r="A10" s="27">
        <v>46238</v>
      </c>
      <c r="B10" s="28" t="s">
        <v>66</v>
      </c>
      <c r="C10" s="29" t="s">
        <v>61</v>
      </c>
      <c r="D10" s="30">
        <v>8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ht="16.5" customHeight="1" x14ac:dyDescent="0.3">
      <c r="A11" s="22">
        <v>46239</v>
      </c>
      <c r="B11" s="23" t="s">
        <v>67</v>
      </c>
      <c r="C11" s="24" t="s">
        <v>61</v>
      </c>
      <c r="D11" s="25">
        <v>8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ht="16.5" customHeight="1" x14ac:dyDescent="0.3">
      <c r="A12" s="27">
        <v>46240</v>
      </c>
      <c r="B12" s="28" t="s">
        <v>60</v>
      </c>
      <c r="C12" s="29" t="s">
        <v>61</v>
      </c>
      <c r="D12" s="30">
        <v>8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4" ht="16.5" customHeight="1" x14ac:dyDescent="0.3">
      <c r="A13" s="22">
        <v>46241</v>
      </c>
      <c r="B13" s="23" t="s">
        <v>62</v>
      </c>
      <c r="C13" s="24" t="s">
        <v>61</v>
      </c>
      <c r="D13" s="25">
        <v>8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ht="16.5" customHeight="1" x14ac:dyDescent="0.3">
      <c r="A14" s="27">
        <v>46242</v>
      </c>
      <c r="B14" s="28" t="s">
        <v>63</v>
      </c>
      <c r="C14" s="29" t="s">
        <v>61</v>
      </c>
      <c r="D14" s="30">
        <v>8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</row>
    <row r="15" spans="1:34" ht="16.5" customHeight="1" x14ac:dyDescent="0.3">
      <c r="A15" s="32">
        <v>46243</v>
      </c>
      <c r="B15" s="33" t="s">
        <v>64</v>
      </c>
      <c r="C15" s="33" t="s">
        <v>64</v>
      </c>
      <c r="D15" s="34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</row>
    <row r="16" spans="1:34" ht="16.5" customHeight="1" x14ac:dyDescent="0.3">
      <c r="A16" s="27">
        <v>46244</v>
      </c>
      <c r="B16" s="28" t="s">
        <v>65</v>
      </c>
      <c r="C16" s="29" t="s">
        <v>61</v>
      </c>
      <c r="D16" s="30">
        <v>8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</row>
    <row r="17" spans="1:34" ht="16.5" customHeight="1" x14ac:dyDescent="0.3">
      <c r="A17" s="22">
        <v>46245</v>
      </c>
      <c r="B17" s="23" t="s">
        <v>66</v>
      </c>
      <c r="C17" s="24" t="s">
        <v>61</v>
      </c>
      <c r="D17" s="25">
        <v>8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16.5" customHeight="1" x14ac:dyDescent="0.3">
      <c r="A18" s="27">
        <v>46246</v>
      </c>
      <c r="B18" s="28" t="s">
        <v>67</v>
      </c>
      <c r="C18" s="29" t="s">
        <v>61</v>
      </c>
      <c r="D18" s="30">
        <v>8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</row>
    <row r="19" spans="1:34" ht="16.5" customHeight="1" x14ac:dyDescent="0.3">
      <c r="A19" s="22">
        <v>46247</v>
      </c>
      <c r="B19" s="23" t="s">
        <v>60</v>
      </c>
      <c r="C19" s="24" t="s">
        <v>61</v>
      </c>
      <c r="D19" s="25">
        <v>8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16.5" customHeight="1" x14ac:dyDescent="0.3">
      <c r="A20" s="27">
        <v>46248</v>
      </c>
      <c r="B20" s="28" t="s">
        <v>62</v>
      </c>
      <c r="C20" s="29" t="s">
        <v>61</v>
      </c>
      <c r="D20" s="30">
        <v>8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spans="1:34" ht="16.5" customHeight="1" x14ac:dyDescent="0.3">
      <c r="A21" s="22">
        <v>46249</v>
      </c>
      <c r="B21" s="23" t="s">
        <v>63</v>
      </c>
      <c r="C21" s="24" t="s">
        <v>61</v>
      </c>
      <c r="D21" s="25">
        <v>8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16.5" customHeight="1" x14ac:dyDescent="0.3">
      <c r="A22" s="32">
        <v>46250</v>
      </c>
      <c r="B22" s="33" t="s">
        <v>64</v>
      </c>
      <c r="C22" s="33" t="s">
        <v>64</v>
      </c>
      <c r="D22" s="34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  <c r="X22" s="35">
        <v>0</v>
      </c>
      <c r="Y22" s="35">
        <v>0</v>
      </c>
      <c r="Z22" s="35">
        <v>0</v>
      </c>
      <c r="AA22" s="35">
        <v>0</v>
      </c>
      <c r="AB22" s="35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</row>
    <row r="23" spans="1:34" ht="16.5" customHeight="1" x14ac:dyDescent="0.3">
      <c r="A23" s="22">
        <v>46251</v>
      </c>
      <c r="B23" s="23" t="s">
        <v>65</v>
      </c>
      <c r="C23" s="24" t="s">
        <v>61</v>
      </c>
      <c r="D23" s="25">
        <v>8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16.5" customHeight="1" x14ac:dyDescent="0.3">
      <c r="A24" s="27">
        <v>46252</v>
      </c>
      <c r="B24" s="28" t="s">
        <v>66</v>
      </c>
      <c r="C24" s="29" t="s">
        <v>61</v>
      </c>
      <c r="D24" s="30">
        <v>8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</row>
    <row r="25" spans="1:34" ht="16.5" customHeight="1" x14ac:dyDescent="0.3">
      <c r="A25" s="22">
        <v>46253</v>
      </c>
      <c r="B25" s="23" t="s">
        <v>67</v>
      </c>
      <c r="C25" s="24" t="s">
        <v>61</v>
      </c>
      <c r="D25" s="25">
        <v>8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16.5" customHeight="1" x14ac:dyDescent="0.3">
      <c r="A26" s="27">
        <v>46254</v>
      </c>
      <c r="B26" s="28" t="s">
        <v>60</v>
      </c>
      <c r="C26" s="29" t="s">
        <v>61</v>
      </c>
      <c r="D26" s="30">
        <v>8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 spans="1:34" ht="16.5" customHeight="1" x14ac:dyDescent="0.3">
      <c r="A27" s="22">
        <v>46255</v>
      </c>
      <c r="B27" s="23" t="s">
        <v>62</v>
      </c>
      <c r="C27" s="24" t="s">
        <v>61</v>
      </c>
      <c r="D27" s="25">
        <v>8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16.5" customHeight="1" x14ac:dyDescent="0.3">
      <c r="A28" s="27">
        <v>46256</v>
      </c>
      <c r="B28" s="28" t="s">
        <v>63</v>
      </c>
      <c r="C28" s="29" t="s">
        <v>61</v>
      </c>
      <c r="D28" s="30">
        <v>8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</row>
    <row r="29" spans="1:34" ht="16.5" customHeight="1" x14ac:dyDescent="0.3">
      <c r="A29" s="32">
        <v>46257</v>
      </c>
      <c r="B29" s="33" t="s">
        <v>64</v>
      </c>
      <c r="C29" s="33" t="s">
        <v>64</v>
      </c>
      <c r="D29" s="34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</row>
    <row r="30" spans="1:34" ht="16.5" customHeight="1" x14ac:dyDescent="0.3">
      <c r="A30" s="27">
        <v>46258</v>
      </c>
      <c r="B30" s="28" t="s">
        <v>65</v>
      </c>
      <c r="C30" s="29" t="s">
        <v>61</v>
      </c>
      <c r="D30" s="30">
        <v>8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 spans="1:34" ht="16.5" customHeight="1" x14ac:dyDescent="0.3">
      <c r="A31" s="22">
        <v>46259</v>
      </c>
      <c r="B31" s="23" t="s">
        <v>66</v>
      </c>
      <c r="C31" s="24" t="s">
        <v>61</v>
      </c>
      <c r="D31" s="25">
        <v>8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34" ht="16.5" customHeight="1" x14ac:dyDescent="0.3">
      <c r="A32" s="27">
        <v>46260</v>
      </c>
      <c r="B32" s="28" t="s">
        <v>67</v>
      </c>
      <c r="C32" s="29" t="s">
        <v>61</v>
      </c>
      <c r="D32" s="30">
        <v>8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</row>
    <row r="33" spans="1:34" ht="16.5" customHeight="1" x14ac:dyDescent="0.3">
      <c r="A33" s="22">
        <v>46261</v>
      </c>
      <c r="B33" s="23" t="s">
        <v>60</v>
      </c>
      <c r="C33" s="24" t="s">
        <v>61</v>
      </c>
      <c r="D33" s="25">
        <v>8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ht="16.5" customHeight="1" x14ac:dyDescent="0.3">
      <c r="A34" s="27">
        <v>46262</v>
      </c>
      <c r="B34" s="28" t="s">
        <v>62</v>
      </c>
      <c r="C34" s="29" t="s">
        <v>61</v>
      </c>
      <c r="D34" s="30">
        <v>8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</row>
    <row r="35" spans="1:34" ht="16.5" customHeight="1" x14ac:dyDescent="0.3">
      <c r="A35" s="22">
        <v>46263</v>
      </c>
      <c r="B35" s="23" t="s">
        <v>63</v>
      </c>
      <c r="C35" s="24" t="s">
        <v>61</v>
      </c>
      <c r="D35" s="25">
        <v>8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ht="16.5" customHeight="1" x14ac:dyDescent="0.3">
      <c r="A36" s="32">
        <v>46264</v>
      </c>
      <c r="B36" s="33" t="s">
        <v>64</v>
      </c>
      <c r="C36" s="33" t="s">
        <v>64</v>
      </c>
      <c r="D36" s="34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  <c r="U36" s="35">
        <v>0</v>
      </c>
      <c r="V36" s="35">
        <v>0</v>
      </c>
      <c r="W36" s="35">
        <v>0</v>
      </c>
      <c r="X36" s="35">
        <v>0</v>
      </c>
      <c r="Y36" s="35">
        <v>0</v>
      </c>
      <c r="Z36" s="35">
        <v>0</v>
      </c>
      <c r="AA36" s="35">
        <v>0</v>
      </c>
      <c r="AB36" s="35">
        <v>0</v>
      </c>
      <c r="AC36" s="35">
        <v>0</v>
      </c>
      <c r="AD36" s="35">
        <v>0</v>
      </c>
      <c r="AE36" s="35">
        <v>0</v>
      </c>
      <c r="AF36" s="35">
        <v>0</v>
      </c>
      <c r="AG36" s="35">
        <v>0</v>
      </c>
      <c r="AH36" s="35">
        <v>0</v>
      </c>
    </row>
    <row r="37" spans="1:34" ht="16.5" customHeight="1" x14ac:dyDescent="0.3">
      <c r="A37" s="22">
        <v>46265</v>
      </c>
      <c r="B37" s="23" t="s">
        <v>65</v>
      </c>
      <c r="C37" s="24" t="s">
        <v>61</v>
      </c>
      <c r="D37" s="25">
        <v>8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9" spans="1:34" ht="21.75" customHeight="1" x14ac:dyDescent="0.3">
      <c r="A39" s="60" t="s">
        <v>68</v>
      </c>
      <c r="B39" s="60"/>
      <c r="C39" s="60"/>
      <c r="D39" s="60"/>
      <c r="E39" s="36">
        <f>IF(Setup!B15&lt;&gt;"",SUM(E7:E37),"")</f>
        <v>0</v>
      </c>
      <c r="F39" s="36">
        <f>IF(Setup!B16&lt;&gt;"",SUM(F7:F37),"")</f>
        <v>0</v>
      </c>
      <c r="G39" s="36">
        <f>IF(Setup!B17&lt;&gt;"",SUM(G7:G37),"")</f>
        <v>0</v>
      </c>
      <c r="H39" s="36">
        <f>IF(Setup!B18&lt;&gt;"",SUM(H7:H37),"")</f>
        <v>0</v>
      </c>
      <c r="I39" s="36">
        <f>IF(Setup!B19&lt;&gt;"",SUM(I7:I37),"")</f>
        <v>0</v>
      </c>
      <c r="J39" s="36">
        <f>IF(Setup!B20&lt;&gt;"",SUM(J7:J37),"")</f>
        <v>0</v>
      </c>
      <c r="K39" s="36">
        <f>IF(Setup!B21&lt;&gt;"",SUM(K7:K37),"")</f>
        <v>0</v>
      </c>
      <c r="L39" s="36">
        <f>IF(Setup!B22&lt;&gt;"",SUM(L7:L37),"")</f>
        <v>0</v>
      </c>
      <c r="M39" s="36">
        <f>IF(Setup!B23&lt;&gt;"",SUM(M7:M37),"")</f>
        <v>0</v>
      </c>
      <c r="N39" s="36">
        <f>IF(Setup!B24&lt;&gt;"",SUM(N7:N37),"")</f>
        <v>0</v>
      </c>
      <c r="O39" s="36">
        <f>IF(Setup!B25&lt;&gt;"",SUM(O7:O37),"")</f>
        <v>0</v>
      </c>
      <c r="P39" s="36">
        <f>IF(Setup!B26&lt;&gt;"",SUM(P7:P37),"")</f>
        <v>0</v>
      </c>
      <c r="Q39" s="36">
        <f>IF(Setup!B27&lt;&gt;"",SUM(Q7:Q37),"")</f>
        <v>0</v>
      </c>
      <c r="R39" s="36">
        <f>IF(Setup!B28&lt;&gt;"",SUM(R7:R37),"")</f>
        <v>0</v>
      </c>
      <c r="S39" s="36" t="str">
        <f>IF(Setup!B29&lt;&gt;"",SUM(S7:S37),"")</f>
        <v/>
      </c>
      <c r="T39" s="36" t="str">
        <f>IF(Setup!B30&lt;&gt;"",SUM(T7:T37),"")</f>
        <v/>
      </c>
      <c r="U39" s="36" t="str">
        <f>IF(Setup!B31&lt;&gt;"",SUM(U7:U37),"")</f>
        <v/>
      </c>
      <c r="V39" s="36" t="str">
        <f>IF(Setup!B32&lt;&gt;"",SUM(V7:V37),"")</f>
        <v/>
      </c>
      <c r="W39" s="36" t="str">
        <f>IF(Setup!B33&lt;&gt;"",SUM(W7:W37),"")</f>
        <v/>
      </c>
      <c r="X39" s="36" t="str">
        <f>IF(Setup!B34&lt;&gt;"",SUM(X7:X37),"")</f>
        <v/>
      </c>
      <c r="Y39" s="36" t="str">
        <f>IF(Setup!B35&lt;&gt;"",SUM(Y7:Y37),"")</f>
        <v/>
      </c>
      <c r="Z39" s="36" t="str">
        <f>IF(Setup!B36&lt;&gt;"",SUM(Z7:Z37),"")</f>
        <v/>
      </c>
      <c r="AA39" s="36" t="str">
        <f>IF(Setup!B37&lt;&gt;"",SUM(AA7:AA37),"")</f>
        <v/>
      </c>
      <c r="AB39" s="36" t="str">
        <f>IF(Setup!B38&lt;&gt;"",SUM(AB7:AB37),"")</f>
        <v/>
      </c>
      <c r="AC39" s="36" t="str">
        <f>IF(Setup!B39&lt;&gt;"",SUM(AC7:AC37),"")</f>
        <v/>
      </c>
      <c r="AD39" s="36" t="str">
        <f>IF(Setup!B40&lt;&gt;"",SUM(AD7:AD37),"")</f>
        <v/>
      </c>
      <c r="AE39" s="36" t="str">
        <f>IF(Setup!B41&lt;&gt;"",SUM(AE7:AE37),"")</f>
        <v/>
      </c>
      <c r="AF39" s="36" t="str">
        <f>IF(Setup!B42&lt;&gt;"",SUM(AF7:AF37),"")</f>
        <v/>
      </c>
      <c r="AG39" s="36" t="str">
        <f>IF(Setup!B43&lt;&gt;"",SUM(AG7:AG37),"")</f>
        <v/>
      </c>
      <c r="AH39" s="36" t="str">
        <f>IF(Setup!B44&lt;&gt;"",SUM(AH7:AH37),"")</f>
        <v/>
      </c>
    </row>
    <row r="40" spans="1:34" ht="19.5" customHeight="1" x14ac:dyDescent="0.3">
      <c r="A40" s="61" t="s">
        <v>69</v>
      </c>
      <c r="B40" s="61"/>
      <c r="C40" s="61"/>
      <c r="D40" s="61"/>
      <c r="E40" s="37">
        <f>IF(Setup!B15&lt;&gt;"",COUNTIFS(C7:C37,"WORK",E7:E37,0),"")</f>
        <v>0</v>
      </c>
      <c r="F40" s="37">
        <f>IF(Setup!B16&lt;&gt;"",COUNTIFS(C7:C37,"WORK",F7:F37,0),"")</f>
        <v>0</v>
      </c>
      <c r="G40" s="37">
        <f>IF(Setup!B17&lt;&gt;"",COUNTIFS(C7:C37,"WORK",G7:G37,0),"")</f>
        <v>0</v>
      </c>
      <c r="H40" s="37">
        <f>IF(Setup!B18&lt;&gt;"",COUNTIFS(C7:C37,"WORK",H7:H37,0),"")</f>
        <v>0</v>
      </c>
      <c r="I40" s="37">
        <f>IF(Setup!B19&lt;&gt;"",COUNTIFS(C7:C37,"WORK",I7:I37,0),"")</f>
        <v>0</v>
      </c>
      <c r="J40" s="37">
        <f>IF(Setup!B20&lt;&gt;"",COUNTIFS(C7:C37,"WORK",J7:J37,0),"")</f>
        <v>0</v>
      </c>
      <c r="K40" s="37">
        <f>IF(Setup!B21&lt;&gt;"",COUNTIFS(C7:C37,"WORK",K7:K37,0),"")</f>
        <v>0</v>
      </c>
      <c r="L40" s="37">
        <f>IF(Setup!B22&lt;&gt;"",COUNTIFS(C7:C37,"WORK",L7:L37,0),"")</f>
        <v>0</v>
      </c>
      <c r="M40" s="37">
        <f>IF(Setup!B23&lt;&gt;"",COUNTIFS(C7:C37,"WORK",M7:M37,0),"")</f>
        <v>0</v>
      </c>
      <c r="N40" s="37">
        <f>IF(Setup!B24&lt;&gt;"",COUNTIFS(C7:C37,"WORK",N7:N37,0),"")</f>
        <v>0</v>
      </c>
      <c r="O40" s="37">
        <f>IF(Setup!B25&lt;&gt;"",COUNTIFS(C7:C37,"WORK",O7:O37,0),"")</f>
        <v>0</v>
      </c>
      <c r="P40" s="37">
        <f>IF(Setup!B26&lt;&gt;"",COUNTIFS(C7:C37,"WORK",P7:P37,0),"")</f>
        <v>0</v>
      </c>
      <c r="Q40" s="37">
        <f>IF(Setup!B27&lt;&gt;"",COUNTIFS(C7:C37,"WORK",Q7:Q37,0),"")</f>
        <v>0</v>
      </c>
      <c r="R40" s="37">
        <f>IF(Setup!B28&lt;&gt;"",COUNTIFS(C7:C37,"WORK",R7:R37,0),"")</f>
        <v>0</v>
      </c>
      <c r="S40" s="37" t="str">
        <f>IF(Setup!B29&lt;&gt;"",COUNTIFS(C7:C37,"WORK",S7:S37,0),"")</f>
        <v/>
      </c>
      <c r="T40" s="37" t="str">
        <f>IF(Setup!B30&lt;&gt;"",COUNTIFS(C7:C37,"WORK",T7:T37,0),"")</f>
        <v/>
      </c>
      <c r="U40" s="37" t="str">
        <f>IF(Setup!B31&lt;&gt;"",COUNTIFS(C7:C37,"WORK",U7:U37,0),"")</f>
        <v/>
      </c>
      <c r="V40" s="37" t="str">
        <f>IF(Setup!B32&lt;&gt;"",COUNTIFS(C7:C37,"WORK",V7:V37,0),"")</f>
        <v/>
      </c>
      <c r="W40" s="37" t="str">
        <f>IF(Setup!B33&lt;&gt;"",COUNTIFS(C7:C37,"WORK",W7:W37,0),"")</f>
        <v/>
      </c>
      <c r="X40" s="37" t="str">
        <f>IF(Setup!B34&lt;&gt;"",COUNTIFS(C7:C37,"WORK",X7:X37,0),"")</f>
        <v/>
      </c>
      <c r="Y40" s="37" t="str">
        <f>IF(Setup!B35&lt;&gt;"",COUNTIFS(C7:C37,"WORK",Y7:Y37,0),"")</f>
        <v/>
      </c>
      <c r="Z40" s="37" t="str">
        <f>IF(Setup!B36&lt;&gt;"",COUNTIFS(C7:C37,"WORK",Z7:Z37,0),"")</f>
        <v/>
      </c>
      <c r="AA40" s="37" t="str">
        <f>IF(Setup!B37&lt;&gt;"",COUNTIFS(C7:C37,"WORK",AA7:AA37,0),"")</f>
        <v/>
      </c>
      <c r="AB40" s="37" t="str">
        <f>IF(Setup!B38&lt;&gt;"",COUNTIFS(C7:C37,"WORK",AB7:AB37,0),"")</f>
        <v/>
      </c>
      <c r="AC40" s="37" t="str">
        <f>IF(Setup!B39&lt;&gt;"",COUNTIFS(C7:C37,"WORK",AC7:AC37,0),"")</f>
        <v/>
      </c>
      <c r="AD40" s="37" t="str">
        <f>IF(Setup!B40&lt;&gt;"",COUNTIFS(C7:C37,"WORK",AD7:AD37,0),"")</f>
        <v/>
      </c>
      <c r="AE40" s="37" t="str">
        <f>IF(Setup!B41&lt;&gt;"",COUNTIFS(C7:C37,"WORK",AE7:AE37,0),"")</f>
        <v/>
      </c>
      <c r="AF40" s="37" t="str">
        <f>IF(Setup!B42&lt;&gt;"",COUNTIFS(C7:C37,"WORK",AF7:AF37,0),"")</f>
        <v/>
      </c>
      <c r="AG40" s="37" t="str">
        <f>IF(Setup!B43&lt;&gt;"",COUNTIFS(C7:C37,"WORK",AG7:AG37,0),"")</f>
        <v/>
      </c>
      <c r="AH40" s="37" t="str">
        <f>IF(Setup!B44&lt;&gt;"",COUNTIFS(C7:C37,"WORK",AH7:AH37,0),"")</f>
        <v/>
      </c>
    </row>
  </sheetData>
  <mergeCells count="3">
    <mergeCell ref="A1:AH1"/>
    <mergeCell ref="A39:D39"/>
    <mergeCell ref="A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H39"/>
  <sheetViews>
    <sheetView showGridLines="0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sqref="A1:AH1"/>
    </sheetView>
  </sheetViews>
  <sheetFormatPr defaultColWidth="8.5546875" defaultRowHeight="14.4" x14ac:dyDescent="0.3"/>
  <cols>
    <col min="1" max="1" width="13" customWidth="1"/>
    <col min="2" max="2" width="5" customWidth="1"/>
    <col min="3" max="3" width="7" customWidth="1"/>
    <col min="4" max="4" width="9" customWidth="1"/>
    <col min="5" max="34" width="10" customWidth="1"/>
  </cols>
  <sheetData>
    <row r="1" spans="1:34" ht="31.5" customHeight="1" x14ac:dyDescent="0.3">
      <c r="A1" s="54" t="s">
        <v>84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 ht="19.5" customHeight="1" x14ac:dyDescent="0.3">
      <c r="A2" s="1" t="s">
        <v>53</v>
      </c>
      <c r="B2" s="10" t="s">
        <v>85</v>
      </c>
    </row>
    <row r="3" spans="1:34" ht="19.5" customHeight="1" x14ac:dyDescent="0.3">
      <c r="A3" s="1" t="s">
        <v>55</v>
      </c>
      <c r="B3" s="2">
        <f>Setup!B8</f>
        <v>8</v>
      </c>
    </row>
    <row r="4" spans="1:34" ht="19.5" customHeight="1" x14ac:dyDescent="0.3">
      <c r="A4" s="1" t="s">
        <v>56</v>
      </c>
      <c r="B4" s="10">
        <v>208</v>
      </c>
    </row>
    <row r="6" spans="1:34" ht="31.5" customHeight="1" x14ac:dyDescent="0.3">
      <c r="A6" s="20" t="s">
        <v>4</v>
      </c>
      <c r="B6" s="20" t="s">
        <v>57</v>
      </c>
      <c r="C6" s="20" t="s">
        <v>58</v>
      </c>
      <c r="D6" s="20" t="s">
        <v>59</v>
      </c>
      <c r="E6" s="21" t="str">
        <f>Setup!B15</f>
        <v>Sheraz</v>
      </c>
      <c r="F6" s="21" t="str">
        <f>Setup!B16</f>
        <v>Zain</v>
      </c>
      <c r="G6" s="21" t="str">
        <f>Setup!B17</f>
        <v>Yousaf</v>
      </c>
      <c r="H6" s="21" t="str">
        <f>Setup!B18</f>
        <v>Hamza</v>
      </c>
      <c r="I6" s="21" t="str">
        <f>Setup!B19</f>
        <v>Amjad</v>
      </c>
      <c r="J6" s="21" t="str">
        <f>Setup!B20</f>
        <v>Tanveer</v>
      </c>
      <c r="K6" s="21" t="str">
        <f>Setup!B21</f>
        <v>Ali Zaman</v>
      </c>
      <c r="L6" s="21" t="str">
        <f>Setup!B22</f>
        <v>Awais Ali</v>
      </c>
      <c r="M6" s="21" t="str">
        <f>Setup!B23</f>
        <v>Ishtiaq</v>
      </c>
      <c r="N6" s="21" t="str">
        <f>Setup!B24</f>
        <v>Usama bhai</v>
      </c>
      <c r="O6" s="21" t="str">
        <f>Setup!B25</f>
        <v>Ahtisham</v>
      </c>
      <c r="P6" s="21" t="str">
        <f>Setup!B26</f>
        <v>Factory rent</v>
      </c>
      <c r="Q6" s="21" t="str">
        <f>Setup!B27</f>
        <v>Internet bill</v>
      </c>
      <c r="R6" s="21" t="str">
        <f>Setup!B28</f>
        <v>Saqab</v>
      </c>
      <c r="S6" s="21">
        <f>Setup!B29</f>
        <v>0</v>
      </c>
      <c r="T6" s="21">
        <f>Setup!B30</f>
        <v>0</v>
      </c>
      <c r="U6" s="21">
        <f>Setup!B31</f>
        <v>0</v>
      </c>
      <c r="V6" s="21">
        <f>Setup!B32</f>
        <v>0</v>
      </c>
      <c r="W6" s="21">
        <f>Setup!B33</f>
        <v>0</v>
      </c>
      <c r="X6" s="21">
        <f>Setup!B34</f>
        <v>0</v>
      </c>
      <c r="Y6" s="21">
        <f>Setup!B35</f>
        <v>0</v>
      </c>
      <c r="Z6" s="21">
        <f>Setup!B36</f>
        <v>0</v>
      </c>
      <c r="AA6" s="21">
        <f>Setup!B37</f>
        <v>0</v>
      </c>
      <c r="AB6" s="21">
        <f>Setup!B38</f>
        <v>0</v>
      </c>
      <c r="AC6" s="21">
        <f>Setup!B39</f>
        <v>0</v>
      </c>
      <c r="AD6" s="21">
        <f>Setup!B40</f>
        <v>0</v>
      </c>
      <c r="AE6" s="21">
        <f>Setup!B41</f>
        <v>0</v>
      </c>
      <c r="AF6" s="21">
        <f>Setup!B42</f>
        <v>0</v>
      </c>
      <c r="AG6" s="21">
        <f>Setup!B43</f>
        <v>0</v>
      </c>
      <c r="AH6" s="21">
        <f>Setup!B44</f>
        <v>0</v>
      </c>
    </row>
    <row r="7" spans="1:34" ht="16.5" customHeight="1" x14ac:dyDescent="0.3">
      <c r="A7" s="22">
        <v>46266</v>
      </c>
      <c r="B7" s="23" t="s">
        <v>66</v>
      </c>
      <c r="C7" s="24" t="s">
        <v>61</v>
      </c>
      <c r="D7" s="25">
        <v>8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ht="16.5" customHeight="1" x14ac:dyDescent="0.3">
      <c r="A8" s="27">
        <v>46267</v>
      </c>
      <c r="B8" s="28" t="s">
        <v>67</v>
      </c>
      <c r="C8" s="29" t="s">
        <v>61</v>
      </c>
      <c r="D8" s="30">
        <v>8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16.5" customHeight="1" x14ac:dyDescent="0.3">
      <c r="A9" s="22">
        <v>46268</v>
      </c>
      <c r="B9" s="23" t="s">
        <v>60</v>
      </c>
      <c r="C9" s="24" t="s">
        <v>61</v>
      </c>
      <c r="D9" s="25">
        <v>8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 ht="16.5" customHeight="1" x14ac:dyDescent="0.3">
      <c r="A10" s="27">
        <v>46269</v>
      </c>
      <c r="B10" s="28" t="s">
        <v>62</v>
      </c>
      <c r="C10" s="29" t="s">
        <v>61</v>
      </c>
      <c r="D10" s="30">
        <v>8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ht="16.5" customHeight="1" x14ac:dyDescent="0.3">
      <c r="A11" s="22">
        <v>46270</v>
      </c>
      <c r="B11" s="23" t="s">
        <v>63</v>
      </c>
      <c r="C11" s="24" t="s">
        <v>61</v>
      </c>
      <c r="D11" s="25">
        <v>8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ht="16.5" customHeight="1" x14ac:dyDescent="0.3">
      <c r="A12" s="32">
        <v>46271</v>
      </c>
      <c r="B12" s="33" t="s">
        <v>64</v>
      </c>
      <c r="C12" s="33" t="s">
        <v>64</v>
      </c>
      <c r="D12" s="34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  <c r="X12" s="35">
        <v>0</v>
      </c>
      <c r="Y12" s="35">
        <v>0</v>
      </c>
      <c r="Z12" s="35">
        <v>0</v>
      </c>
      <c r="AA12" s="35">
        <v>0</v>
      </c>
      <c r="AB12" s="35">
        <v>0</v>
      </c>
      <c r="AC12" s="35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</row>
    <row r="13" spans="1:34" ht="16.5" customHeight="1" x14ac:dyDescent="0.3">
      <c r="A13" s="22">
        <v>46272</v>
      </c>
      <c r="B13" s="23" t="s">
        <v>65</v>
      </c>
      <c r="C13" s="24" t="s">
        <v>61</v>
      </c>
      <c r="D13" s="25">
        <v>8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ht="16.5" customHeight="1" x14ac:dyDescent="0.3">
      <c r="A14" s="27">
        <v>46273</v>
      </c>
      <c r="B14" s="28" t="s">
        <v>66</v>
      </c>
      <c r="C14" s="29" t="s">
        <v>61</v>
      </c>
      <c r="D14" s="30">
        <v>8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</row>
    <row r="15" spans="1:34" ht="16.5" customHeight="1" x14ac:dyDescent="0.3">
      <c r="A15" s="22">
        <v>46274</v>
      </c>
      <c r="B15" s="23" t="s">
        <v>67</v>
      </c>
      <c r="C15" s="24" t="s">
        <v>61</v>
      </c>
      <c r="D15" s="25">
        <v>8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16.5" customHeight="1" x14ac:dyDescent="0.3">
      <c r="A16" s="27">
        <v>46275</v>
      </c>
      <c r="B16" s="28" t="s">
        <v>60</v>
      </c>
      <c r="C16" s="29" t="s">
        <v>61</v>
      </c>
      <c r="D16" s="30">
        <v>8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</row>
    <row r="17" spans="1:34" ht="16.5" customHeight="1" x14ac:dyDescent="0.3">
      <c r="A17" s="22">
        <v>46276</v>
      </c>
      <c r="B17" s="23" t="s">
        <v>62</v>
      </c>
      <c r="C17" s="24" t="s">
        <v>61</v>
      </c>
      <c r="D17" s="25">
        <v>8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16.5" customHeight="1" x14ac:dyDescent="0.3">
      <c r="A18" s="27">
        <v>46277</v>
      </c>
      <c r="B18" s="28" t="s">
        <v>63</v>
      </c>
      <c r="C18" s="29" t="s">
        <v>61</v>
      </c>
      <c r="D18" s="30">
        <v>8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</row>
    <row r="19" spans="1:34" ht="16.5" customHeight="1" x14ac:dyDescent="0.3">
      <c r="A19" s="32">
        <v>46278</v>
      </c>
      <c r="B19" s="33" t="s">
        <v>64</v>
      </c>
      <c r="C19" s="33" t="s">
        <v>64</v>
      </c>
      <c r="D19" s="34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  <c r="Y19" s="35">
        <v>0</v>
      </c>
      <c r="Z19" s="35">
        <v>0</v>
      </c>
      <c r="AA19" s="35">
        <v>0</v>
      </c>
      <c r="AB19" s="35">
        <v>0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</row>
    <row r="20" spans="1:34" ht="16.5" customHeight="1" x14ac:dyDescent="0.3">
      <c r="A20" s="27">
        <v>46279</v>
      </c>
      <c r="B20" s="28" t="s">
        <v>65</v>
      </c>
      <c r="C20" s="29" t="s">
        <v>61</v>
      </c>
      <c r="D20" s="30">
        <v>8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spans="1:34" ht="16.5" customHeight="1" x14ac:dyDescent="0.3">
      <c r="A21" s="22">
        <v>46280</v>
      </c>
      <c r="B21" s="23" t="s">
        <v>66</v>
      </c>
      <c r="C21" s="24" t="s">
        <v>61</v>
      </c>
      <c r="D21" s="25">
        <v>8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16.5" customHeight="1" x14ac:dyDescent="0.3">
      <c r="A22" s="27">
        <v>46281</v>
      </c>
      <c r="B22" s="28" t="s">
        <v>67</v>
      </c>
      <c r="C22" s="29" t="s">
        <v>61</v>
      </c>
      <c r="D22" s="30">
        <v>8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 spans="1:34" ht="16.5" customHeight="1" x14ac:dyDescent="0.3">
      <c r="A23" s="22">
        <v>46282</v>
      </c>
      <c r="B23" s="23" t="s">
        <v>60</v>
      </c>
      <c r="C23" s="24" t="s">
        <v>61</v>
      </c>
      <c r="D23" s="25">
        <v>8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16.5" customHeight="1" x14ac:dyDescent="0.3">
      <c r="A24" s="27">
        <v>46283</v>
      </c>
      <c r="B24" s="28" t="s">
        <v>62</v>
      </c>
      <c r="C24" s="29" t="s">
        <v>61</v>
      </c>
      <c r="D24" s="30">
        <v>8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</row>
    <row r="25" spans="1:34" ht="16.5" customHeight="1" x14ac:dyDescent="0.3">
      <c r="A25" s="22">
        <v>46284</v>
      </c>
      <c r="B25" s="23" t="s">
        <v>63</v>
      </c>
      <c r="C25" s="24" t="s">
        <v>61</v>
      </c>
      <c r="D25" s="25">
        <v>8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16.5" customHeight="1" x14ac:dyDescent="0.3">
      <c r="A26" s="32">
        <v>46285</v>
      </c>
      <c r="B26" s="33" t="s">
        <v>64</v>
      </c>
      <c r="C26" s="33" t="s">
        <v>64</v>
      </c>
      <c r="D26" s="34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5">
        <v>0</v>
      </c>
      <c r="AC26" s="35">
        <v>0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</row>
    <row r="27" spans="1:34" ht="16.5" customHeight="1" x14ac:dyDescent="0.3">
      <c r="A27" s="22">
        <v>46286</v>
      </c>
      <c r="B27" s="23" t="s">
        <v>65</v>
      </c>
      <c r="C27" s="24" t="s">
        <v>61</v>
      </c>
      <c r="D27" s="25">
        <v>8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16.5" customHeight="1" x14ac:dyDescent="0.3">
      <c r="A28" s="27">
        <v>46287</v>
      </c>
      <c r="B28" s="28" t="s">
        <v>66</v>
      </c>
      <c r="C28" s="29" t="s">
        <v>61</v>
      </c>
      <c r="D28" s="30">
        <v>8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</row>
    <row r="29" spans="1:34" ht="16.5" customHeight="1" x14ac:dyDescent="0.3">
      <c r="A29" s="22">
        <v>46288</v>
      </c>
      <c r="B29" s="23" t="s">
        <v>67</v>
      </c>
      <c r="C29" s="24" t="s">
        <v>61</v>
      </c>
      <c r="D29" s="25">
        <v>8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ht="16.5" customHeight="1" x14ac:dyDescent="0.3">
      <c r="A30" s="27">
        <v>46289</v>
      </c>
      <c r="B30" s="28" t="s">
        <v>60</v>
      </c>
      <c r="C30" s="29" t="s">
        <v>61</v>
      </c>
      <c r="D30" s="30">
        <v>8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 spans="1:34" ht="16.5" customHeight="1" x14ac:dyDescent="0.3">
      <c r="A31" s="22">
        <v>46290</v>
      </c>
      <c r="B31" s="23" t="s">
        <v>62</v>
      </c>
      <c r="C31" s="24" t="s">
        <v>61</v>
      </c>
      <c r="D31" s="25">
        <v>8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34" ht="16.5" customHeight="1" x14ac:dyDescent="0.3">
      <c r="A32" s="27">
        <v>46291</v>
      </c>
      <c r="B32" s="28" t="s">
        <v>63</v>
      </c>
      <c r="C32" s="29" t="s">
        <v>61</v>
      </c>
      <c r="D32" s="30">
        <v>8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</row>
    <row r="33" spans="1:34" ht="16.5" customHeight="1" x14ac:dyDescent="0.3">
      <c r="A33" s="32">
        <v>46292</v>
      </c>
      <c r="B33" s="33" t="s">
        <v>64</v>
      </c>
      <c r="C33" s="33" t="s">
        <v>64</v>
      </c>
      <c r="D33" s="34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</row>
    <row r="34" spans="1:34" ht="16.5" customHeight="1" x14ac:dyDescent="0.3">
      <c r="A34" s="27">
        <v>46293</v>
      </c>
      <c r="B34" s="28" t="s">
        <v>65</v>
      </c>
      <c r="C34" s="29" t="s">
        <v>61</v>
      </c>
      <c r="D34" s="30">
        <v>8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</row>
    <row r="35" spans="1:34" ht="16.5" customHeight="1" x14ac:dyDescent="0.3">
      <c r="A35" s="22">
        <v>46294</v>
      </c>
      <c r="B35" s="23" t="s">
        <v>66</v>
      </c>
      <c r="C35" s="24" t="s">
        <v>61</v>
      </c>
      <c r="D35" s="25">
        <v>8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ht="16.5" customHeight="1" x14ac:dyDescent="0.3">
      <c r="A36" s="27">
        <v>46295</v>
      </c>
      <c r="B36" s="28" t="s">
        <v>67</v>
      </c>
      <c r="C36" s="29" t="s">
        <v>61</v>
      </c>
      <c r="D36" s="30">
        <v>8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</row>
    <row r="38" spans="1:34" ht="21.75" customHeight="1" x14ac:dyDescent="0.3">
      <c r="A38" s="60" t="s">
        <v>68</v>
      </c>
      <c r="B38" s="60"/>
      <c r="C38" s="60"/>
      <c r="D38" s="60"/>
      <c r="E38" s="36">
        <f>IF(Setup!B15&lt;&gt;"",SUM(E7:E36),"")</f>
        <v>0</v>
      </c>
      <c r="F38" s="36">
        <f>IF(Setup!B16&lt;&gt;"",SUM(F7:F36),"")</f>
        <v>0</v>
      </c>
      <c r="G38" s="36">
        <f>IF(Setup!B17&lt;&gt;"",SUM(G7:G36),"")</f>
        <v>0</v>
      </c>
      <c r="H38" s="36">
        <f>IF(Setup!B18&lt;&gt;"",SUM(H7:H36),"")</f>
        <v>0</v>
      </c>
      <c r="I38" s="36">
        <f>IF(Setup!B19&lt;&gt;"",SUM(I7:I36),"")</f>
        <v>0</v>
      </c>
      <c r="J38" s="36">
        <f>IF(Setup!B20&lt;&gt;"",SUM(J7:J36),"")</f>
        <v>0</v>
      </c>
      <c r="K38" s="36">
        <f>IF(Setup!B21&lt;&gt;"",SUM(K7:K36),"")</f>
        <v>0</v>
      </c>
      <c r="L38" s="36">
        <f>IF(Setup!B22&lt;&gt;"",SUM(L7:L36),"")</f>
        <v>0</v>
      </c>
      <c r="M38" s="36">
        <f>IF(Setup!B23&lt;&gt;"",SUM(M7:M36),"")</f>
        <v>0</v>
      </c>
      <c r="N38" s="36">
        <f>IF(Setup!B24&lt;&gt;"",SUM(N7:N36),"")</f>
        <v>0</v>
      </c>
      <c r="O38" s="36">
        <f>IF(Setup!B25&lt;&gt;"",SUM(O7:O36),"")</f>
        <v>0</v>
      </c>
      <c r="P38" s="36">
        <f>IF(Setup!B26&lt;&gt;"",SUM(P7:P36),"")</f>
        <v>0</v>
      </c>
      <c r="Q38" s="36">
        <f>IF(Setup!B27&lt;&gt;"",SUM(Q7:Q36),"")</f>
        <v>0</v>
      </c>
      <c r="R38" s="36">
        <f>IF(Setup!B28&lt;&gt;"",SUM(R7:R36),"")</f>
        <v>0</v>
      </c>
      <c r="S38" s="36" t="str">
        <f>IF(Setup!B29&lt;&gt;"",SUM(S7:S36),"")</f>
        <v/>
      </c>
      <c r="T38" s="36" t="str">
        <f>IF(Setup!B30&lt;&gt;"",SUM(T7:T36),"")</f>
        <v/>
      </c>
      <c r="U38" s="36" t="str">
        <f>IF(Setup!B31&lt;&gt;"",SUM(U7:U36),"")</f>
        <v/>
      </c>
      <c r="V38" s="36" t="str">
        <f>IF(Setup!B32&lt;&gt;"",SUM(V7:V36),"")</f>
        <v/>
      </c>
      <c r="W38" s="36" t="str">
        <f>IF(Setup!B33&lt;&gt;"",SUM(W7:W36),"")</f>
        <v/>
      </c>
      <c r="X38" s="36" t="str">
        <f>IF(Setup!B34&lt;&gt;"",SUM(X7:X36),"")</f>
        <v/>
      </c>
      <c r="Y38" s="36" t="str">
        <f>IF(Setup!B35&lt;&gt;"",SUM(Y7:Y36),"")</f>
        <v/>
      </c>
      <c r="Z38" s="36" t="str">
        <f>IF(Setup!B36&lt;&gt;"",SUM(Z7:Z36),"")</f>
        <v/>
      </c>
      <c r="AA38" s="36" t="str">
        <f>IF(Setup!B37&lt;&gt;"",SUM(AA7:AA36),"")</f>
        <v/>
      </c>
      <c r="AB38" s="36" t="str">
        <f>IF(Setup!B38&lt;&gt;"",SUM(AB7:AB36),"")</f>
        <v/>
      </c>
      <c r="AC38" s="36" t="str">
        <f>IF(Setup!B39&lt;&gt;"",SUM(AC7:AC36),"")</f>
        <v/>
      </c>
      <c r="AD38" s="36" t="str">
        <f>IF(Setup!B40&lt;&gt;"",SUM(AD7:AD36),"")</f>
        <v/>
      </c>
      <c r="AE38" s="36" t="str">
        <f>IF(Setup!B41&lt;&gt;"",SUM(AE7:AE36),"")</f>
        <v/>
      </c>
      <c r="AF38" s="36" t="str">
        <f>IF(Setup!B42&lt;&gt;"",SUM(AF7:AF36),"")</f>
        <v/>
      </c>
      <c r="AG38" s="36" t="str">
        <f>IF(Setup!B43&lt;&gt;"",SUM(AG7:AG36),"")</f>
        <v/>
      </c>
      <c r="AH38" s="36" t="str">
        <f>IF(Setup!B44&lt;&gt;"",SUM(AH7:AH36),"")</f>
        <v/>
      </c>
    </row>
    <row r="39" spans="1:34" ht="19.5" customHeight="1" x14ac:dyDescent="0.3">
      <c r="A39" s="61" t="s">
        <v>69</v>
      </c>
      <c r="B39" s="61"/>
      <c r="C39" s="61"/>
      <c r="D39" s="61"/>
      <c r="E39" s="37">
        <f>IF(Setup!B15&lt;&gt;"",COUNTIFS(C7:C36,"WORK",E7:E36,0),"")</f>
        <v>0</v>
      </c>
      <c r="F39" s="37">
        <f>IF(Setup!B16&lt;&gt;"",COUNTIFS(C7:C36,"WORK",F7:F36,0),"")</f>
        <v>0</v>
      </c>
      <c r="G39" s="37">
        <f>IF(Setup!B17&lt;&gt;"",COUNTIFS(C7:C36,"WORK",G7:G36,0),"")</f>
        <v>0</v>
      </c>
      <c r="H39" s="37">
        <f>IF(Setup!B18&lt;&gt;"",COUNTIFS(C7:C36,"WORK",H7:H36,0),"")</f>
        <v>0</v>
      </c>
      <c r="I39" s="37">
        <f>IF(Setup!B19&lt;&gt;"",COUNTIFS(C7:C36,"WORK",I7:I36,0),"")</f>
        <v>0</v>
      </c>
      <c r="J39" s="37">
        <f>IF(Setup!B20&lt;&gt;"",COUNTIFS(C7:C36,"WORK",J7:J36,0),"")</f>
        <v>0</v>
      </c>
      <c r="K39" s="37">
        <f>IF(Setup!B21&lt;&gt;"",COUNTIFS(C7:C36,"WORK",K7:K36,0),"")</f>
        <v>0</v>
      </c>
      <c r="L39" s="37">
        <f>IF(Setup!B22&lt;&gt;"",COUNTIFS(C7:C36,"WORK",L7:L36,0),"")</f>
        <v>0</v>
      </c>
      <c r="M39" s="37">
        <f>IF(Setup!B23&lt;&gt;"",COUNTIFS(C7:C36,"WORK",M7:M36,0),"")</f>
        <v>0</v>
      </c>
      <c r="N39" s="37">
        <f>IF(Setup!B24&lt;&gt;"",COUNTIFS(C7:C36,"WORK",N7:N36,0),"")</f>
        <v>0</v>
      </c>
      <c r="O39" s="37">
        <f>IF(Setup!B25&lt;&gt;"",COUNTIFS(C7:C36,"WORK",O7:O36,0),"")</f>
        <v>0</v>
      </c>
      <c r="P39" s="37">
        <f>IF(Setup!B26&lt;&gt;"",COUNTIFS(C7:C36,"WORK",P7:P36,0),"")</f>
        <v>0</v>
      </c>
      <c r="Q39" s="37">
        <f>IF(Setup!B27&lt;&gt;"",COUNTIFS(C7:C36,"WORK",Q7:Q36,0),"")</f>
        <v>0</v>
      </c>
      <c r="R39" s="37">
        <f>IF(Setup!B28&lt;&gt;"",COUNTIFS(C7:C36,"WORK",R7:R36,0),"")</f>
        <v>0</v>
      </c>
      <c r="S39" s="37" t="str">
        <f>IF(Setup!B29&lt;&gt;"",COUNTIFS(C7:C36,"WORK",S7:S36,0),"")</f>
        <v/>
      </c>
      <c r="T39" s="37" t="str">
        <f>IF(Setup!B30&lt;&gt;"",COUNTIFS(C7:C36,"WORK",T7:T36,0),"")</f>
        <v/>
      </c>
      <c r="U39" s="37" t="str">
        <f>IF(Setup!B31&lt;&gt;"",COUNTIFS(C7:C36,"WORK",U7:U36,0),"")</f>
        <v/>
      </c>
      <c r="V39" s="37" t="str">
        <f>IF(Setup!B32&lt;&gt;"",COUNTIFS(C7:C36,"WORK",V7:V36,0),"")</f>
        <v/>
      </c>
      <c r="W39" s="37" t="str">
        <f>IF(Setup!B33&lt;&gt;"",COUNTIFS(C7:C36,"WORK",W7:W36,0),"")</f>
        <v/>
      </c>
      <c r="X39" s="37" t="str">
        <f>IF(Setup!B34&lt;&gt;"",COUNTIFS(C7:C36,"WORK",X7:X36,0),"")</f>
        <v/>
      </c>
      <c r="Y39" s="37" t="str">
        <f>IF(Setup!B35&lt;&gt;"",COUNTIFS(C7:C36,"WORK",Y7:Y36,0),"")</f>
        <v/>
      </c>
      <c r="Z39" s="37" t="str">
        <f>IF(Setup!B36&lt;&gt;"",COUNTIFS(C7:C36,"WORK",Z7:Z36,0),"")</f>
        <v/>
      </c>
      <c r="AA39" s="37" t="str">
        <f>IF(Setup!B37&lt;&gt;"",COUNTIFS(C7:C36,"WORK",AA7:AA36,0),"")</f>
        <v/>
      </c>
      <c r="AB39" s="37" t="str">
        <f>IF(Setup!B38&lt;&gt;"",COUNTIFS(C7:C36,"WORK",AB7:AB36,0),"")</f>
        <v/>
      </c>
      <c r="AC39" s="37" t="str">
        <f>IF(Setup!B39&lt;&gt;"",COUNTIFS(C7:C36,"WORK",AC7:AC36,0),"")</f>
        <v/>
      </c>
      <c r="AD39" s="37" t="str">
        <f>IF(Setup!B40&lt;&gt;"",COUNTIFS(C7:C36,"WORK",AD7:AD36,0),"")</f>
        <v/>
      </c>
      <c r="AE39" s="37" t="str">
        <f>IF(Setup!B41&lt;&gt;"",COUNTIFS(C7:C36,"WORK",AE7:AE36,0),"")</f>
        <v/>
      </c>
      <c r="AF39" s="37" t="str">
        <f>IF(Setup!B42&lt;&gt;"",COUNTIFS(C7:C36,"WORK",AF7:AF36,0),"")</f>
        <v/>
      </c>
      <c r="AG39" s="37" t="str">
        <f>IF(Setup!B43&lt;&gt;"",COUNTIFS(C7:C36,"WORK",AG7:AG36,0),"")</f>
        <v/>
      </c>
      <c r="AH39" s="37" t="str">
        <f>IF(Setup!B44&lt;&gt;"",COUNTIFS(C7:C36,"WORK",AH7:AH36,0),"")</f>
        <v/>
      </c>
    </row>
  </sheetData>
  <mergeCells count="3">
    <mergeCell ref="A1:AH1"/>
    <mergeCell ref="A38:D38"/>
    <mergeCell ref="A39:D39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AH40"/>
  <sheetViews>
    <sheetView showGridLines="0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sqref="A1:AH1"/>
    </sheetView>
  </sheetViews>
  <sheetFormatPr defaultColWidth="8.5546875" defaultRowHeight="14.4" x14ac:dyDescent="0.3"/>
  <cols>
    <col min="1" max="1" width="13" customWidth="1"/>
    <col min="2" max="2" width="5" customWidth="1"/>
    <col min="3" max="3" width="7" customWidth="1"/>
    <col min="4" max="4" width="9" customWidth="1"/>
    <col min="5" max="34" width="10" customWidth="1"/>
  </cols>
  <sheetData>
    <row r="1" spans="1:34" ht="31.5" customHeight="1" x14ac:dyDescent="0.3">
      <c r="A1" s="54" t="s">
        <v>86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 ht="19.5" customHeight="1" x14ac:dyDescent="0.3">
      <c r="A2" s="1" t="s">
        <v>53</v>
      </c>
      <c r="B2" s="10" t="s">
        <v>87</v>
      </c>
    </row>
    <row r="3" spans="1:34" ht="19.5" customHeight="1" x14ac:dyDescent="0.3">
      <c r="A3" s="1" t="s">
        <v>55</v>
      </c>
      <c r="B3" s="2">
        <f>Setup!B8</f>
        <v>8</v>
      </c>
    </row>
    <row r="4" spans="1:34" ht="19.5" customHeight="1" x14ac:dyDescent="0.3">
      <c r="A4" s="1" t="s">
        <v>56</v>
      </c>
      <c r="B4" s="10">
        <v>216</v>
      </c>
    </row>
    <row r="6" spans="1:34" ht="31.5" customHeight="1" x14ac:dyDescent="0.3">
      <c r="A6" s="20" t="s">
        <v>4</v>
      </c>
      <c r="B6" s="20" t="s">
        <v>57</v>
      </c>
      <c r="C6" s="20" t="s">
        <v>58</v>
      </c>
      <c r="D6" s="20" t="s">
        <v>59</v>
      </c>
      <c r="E6" s="21" t="str">
        <f>Setup!B15</f>
        <v>Sheraz</v>
      </c>
      <c r="F6" s="21" t="str">
        <f>Setup!B16</f>
        <v>Zain</v>
      </c>
      <c r="G6" s="21" t="str">
        <f>Setup!B17</f>
        <v>Yousaf</v>
      </c>
      <c r="H6" s="21" t="str">
        <f>Setup!B18</f>
        <v>Hamza</v>
      </c>
      <c r="I6" s="21" t="str">
        <f>Setup!B19</f>
        <v>Amjad</v>
      </c>
      <c r="J6" s="21" t="str">
        <f>Setup!B20</f>
        <v>Tanveer</v>
      </c>
      <c r="K6" s="21" t="str">
        <f>Setup!B21</f>
        <v>Ali Zaman</v>
      </c>
      <c r="L6" s="21" t="str">
        <f>Setup!B22</f>
        <v>Awais Ali</v>
      </c>
      <c r="M6" s="21" t="str">
        <f>Setup!B23</f>
        <v>Ishtiaq</v>
      </c>
      <c r="N6" s="21" t="str">
        <f>Setup!B24</f>
        <v>Usama bhai</v>
      </c>
      <c r="O6" s="21" t="str">
        <f>Setup!B25</f>
        <v>Ahtisham</v>
      </c>
      <c r="P6" s="21" t="str">
        <f>Setup!B26</f>
        <v>Factory rent</v>
      </c>
      <c r="Q6" s="21" t="str">
        <f>Setup!B27</f>
        <v>Internet bill</v>
      </c>
      <c r="R6" s="21" t="str">
        <f>Setup!B28</f>
        <v>Saqab</v>
      </c>
      <c r="S6" s="21">
        <f>Setup!B29</f>
        <v>0</v>
      </c>
      <c r="T6" s="21">
        <f>Setup!B30</f>
        <v>0</v>
      </c>
      <c r="U6" s="21">
        <f>Setup!B31</f>
        <v>0</v>
      </c>
      <c r="V6" s="21">
        <f>Setup!B32</f>
        <v>0</v>
      </c>
      <c r="W6" s="21">
        <f>Setup!B33</f>
        <v>0</v>
      </c>
      <c r="X6" s="21">
        <f>Setup!B34</f>
        <v>0</v>
      </c>
      <c r="Y6" s="21">
        <f>Setup!B35</f>
        <v>0</v>
      </c>
      <c r="Z6" s="21">
        <f>Setup!B36</f>
        <v>0</v>
      </c>
      <c r="AA6" s="21">
        <f>Setup!B37</f>
        <v>0</v>
      </c>
      <c r="AB6" s="21">
        <f>Setup!B38</f>
        <v>0</v>
      </c>
      <c r="AC6" s="21">
        <f>Setup!B39</f>
        <v>0</v>
      </c>
      <c r="AD6" s="21">
        <f>Setup!B40</f>
        <v>0</v>
      </c>
      <c r="AE6" s="21">
        <f>Setup!B41</f>
        <v>0</v>
      </c>
      <c r="AF6" s="21">
        <f>Setup!B42</f>
        <v>0</v>
      </c>
      <c r="AG6" s="21">
        <f>Setup!B43</f>
        <v>0</v>
      </c>
      <c r="AH6" s="21">
        <f>Setup!B44</f>
        <v>0</v>
      </c>
    </row>
    <row r="7" spans="1:34" ht="16.5" customHeight="1" x14ac:dyDescent="0.3">
      <c r="A7" s="22">
        <v>46296</v>
      </c>
      <c r="B7" s="23" t="s">
        <v>60</v>
      </c>
      <c r="C7" s="24" t="s">
        <v>61</v>
      </c>
      <c r="D7" s="25">
        <v>8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ht="16.5" customHeight="1" x14ac:dyDescent="0.3">
      <c r="A8" s="27">
        <v>46297</v>
      </c>
      <c r="B8" s="28" t="s">
        <v>62</v>
      </c>
      <c r="C8" s="29" t="s">
        <v>61</v>
      </c>
      <c r="D8" s="30">
        <v>8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16.5" customHeight="1" x14ac:dyDescent="0.3">
      <c r="A9" s="22">
        <v>46298</v>
      </c>
      <c r="B9" s="23" t="s">
        <v>63</v>
      </c>
      <c r="C9" s="24" t="s">
        <v>61</v>
      </c>
      <c r="D9" s="25">
        <v>8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 ht="16.5" customHeight="1" x14ac:dyDescent="0.3">
      <c r="A10" s="32">
        <v>46299</v>
      </c>
      <c r="B10" s="33" t="s">
        <v>64</v>
      </c>
      <c r="C10" s="33" t="s">
        <v>64</v>
      </c>
      <c r="D10" s="34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</row>
    <row r="11" spans="1:34" ht="16.5" customHeight="1" x14ac:dyDescent="0.3">
      <c r="A11" s="22">
        <v>46300</v>
      </c>
      <c r="B11" s="23" t="s">
        <v>65</v>
      </c>
      <c r="C11" s="24" t="s">
        <v>61</v>
      </c>
      <c r="D11" s="25">
        <v>8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ht="16.5" customHeight="1" x14ac:dyDescent="0.3">
      <c r="A12" s="27">
        <v>46301</v>
      </c>
      <c r="B12" s="28" t="s">
        <v>66</v>
      </c>
      <c r="C12" s="29" t="s">
        <v>61</v>
      </c>
      <c r="D12" s="30">
        <v>8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4" ht="16.5" customHeight="1" x14ac:dyDescent="0.3">
      <c r="A13" s="22">
        <v>46302</v>
      </c>
      <c r="B13" s="23" t="s">
        <v>67</v>
      </c>
      <c r="C13" s="24" t="s">
        <v>61</v>
      </c>
      <c r="D13" s="25">
        <v>8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ht="16.5" customHeight="1" x14ac:dyDescent="0.3">
      <c r="A14" s="27">
        <v>46303</v>
      </c>
      <c r="B14" s="28" t="s">
        <v>60</v>
      </c>
      <c r="C14" s="29" t="s">
        <v>61</v>
      </c>
      <c r="D14" s="30">
        <v>8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</row>
    <row r="15" spans="1:34" ht="16.5" customHeight="1" x14ac:dyDescent="0.3">
      <c r="A15" s="22">
        <v>46304</v>
      </c>
      <c r="B15" s="23" t="s">
        <v>62</v>
      </c>
      <c r="C15" s="24" t="s">
        <v>61</v>
      </c>
      <c r="D15" s="25">
        <v>8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16.5" customHeight="1" x14ac:dyDescent="0.3">
      <c r="A16" s="27">
        <v>46305</v>
      </c>
      <c r="B16" s="28" t="s">
        <v>63</v>
      </c>
      <c r="C16" s="29" t="s">
        <v>61</v>
      </c>
      <c r="D16" s="30">
        <v>8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</row>
    <row r="17" spans="1:34" ht="16.5" customHeight="1" x14ac:dyDescent="0.3">
      <c r="A17" s="32">
        <v>46306</v>
      </c>
      <c r="B17" s="33" t="s">
        <v>64</v>
      </c>
      <c r="C17" s="33" t="s">
        <v>64</v>
      </c>
      <c r="D17" s="34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</row>
    <row r="18" spans="1:34" ht="16.5" customHeight="1" x14ac:dyDescent="0.3">
      <c r="A18" s="27">
        <v>46307</v>
      </c>
      <c r="B18" s="28" t="s">
        <v>65</v>
      </c>
      <c r="C18" s="29" t="s">
        <v>61</v>
      </c>
      <c r="D18" s="30">
        <v>8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</row>
    <row r="19" spans="1:34" ht="16.5" customHeight="1" x14ac:dyDescent="0.3">
      <c r="A19" s="22">
        <v>46308</v>
      </c>
      <c r="B19" s="23" t="s">
        <v>66</v>
      </c>
      <c r="C19" s="24" t="s">
        <v>61</v>
      </c>
      <c r="D19" s="25">
        <v>8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16.5" customHeight="1" x14ac:dyDescent="0.3">
      <c r="A20" s="27">
        <v>46309</v>
      </c>
      <c r="B20" s="28" t="s">
        <v>67</v>
      </c>
      <c r="C20" s="29" t="s">
        <v>61</v>
      </c>
      <c r="D20" s="30">
        <v>8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spans="1:34" ht="16.5" customHeight="1" x14ac:dyDescent="0.3">
      <c r="A21" s="22">
        <v>46310</v>
      </c>
      <c r="B21" s="23" t="s">
        <v>60</v>
      </c>
      <c r="C21" s="24" t="s">
        <v>61</v>
      </c>
      <c r="D21" s="25">
        <v>8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16.5" customHeight="1" x14ac:dyDescent="0.3">
      <c r="A22" s="27">
        <v>46311</v>
      </c>
      <c r="B22" s="28" t="s">
        <v>62</v>
      </c>
      <c r="C22" s="29" t="s">
        <v>61</v>
      </c>
      <c r="D22" s="30">
        <v>8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 spans="1:34" ht="16.5" customHeight="1" x14ac:dyDescent="0.3">
      <c r="A23" s="22">
        <v>46312</v>
      </c>
      <c r="B23" s="23" t="s">
        <v>63</v>
      </c>
      <c r="C23" s="24" t="s">
        <v>61</v>
      </c>
      <c r="D23" s="25">
        <v>8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16.5" customHeight="1" x14ac:dyDescent="0.3">
      <c r="A24" s="32">
        <v>46313</v>
      </c>
      <c r="B24" s="33" t="s">
        <v>64</v>
      </c>
      <c r="C24" s="33" t="s">
        <v>64</v>
      </c>
      <c r="D24" s="34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</row>
    <row r="25" spans="1:34" ht="16.5" customHeight="1" x14ac:dyDescent="0.3">
      <c r="A25" s="22">
        <v>46314</v>
      </c>
      <c r="B25" s="23" t="s">
        <v>65</v>
      </c>
      <c r="C25" s="24" t="s">
        <v>61</v>
      </c>
      <c r="D25" s="25">
        <v>8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16.5" customHeight="1" x14ac:dyDescent="0.3">
      <c r="A26" s="27">
        <v>46315</v>
      </c>
      <c r="B26" s="28" t="s">
        <v>66</v>
      </c>
      <c r="C26" s="29" t="s">
        <v>61</v>
      </c>
      <c r="D26" s="30">
        <v>8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 spans="1:34" ht="16.5" customHeight="1" x14ac:dyDescent="0.3">
      <c r="A27" s="22">
        <v>46316</v>
      </c>
      <c r="B27" s="23" t="s">
        <v>67</v>
      </c>
      <c r="C27" s="24" t="s">
        <v>61</v>
      </c>
      <c r="D27" s="25">
        <v>8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16.5" customHeight="1" x14ac:dyDescent="0.3">
      <c r="A28" s="27">
        <v>46317</v>
      </c>
      <c r="B28" s="28" t="s">
        <v>60</v>
      </c>
      <c r="C28" s="29" t="s">
        <v>61</v>
      </c>
      <c r="D28" s="30">
        <v>8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</row>
    <row r="29" spans="1:34" ht="16.5" customHeight="1" x14ac:dyDescent="0.3">
      <c r="A29" s="22">
        <v>46318</v>
      </c>
      <c r="B29" s="23" t="s">
        <v>62</v>
      </c>
      <c r="C29" s="24" t="s">
        <v>61</v>
      </c>
      <c r="D29" s="25">
        <v>8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ht="16.5" customHeight="1" x14ac:dyDescent="0.3">
      <c r="A30" s="27">
        <v>46319</v>
      </c>
      <c r="B30" s="28" t="s">
        <v>63</v>
      </c>
      <c r="C30" s="29" t="s">
        <v>61</v>
      </c>
      <c r="D30" s="30">
        <v>8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 spans="1:34" ht="16.5" customHeight="1" x14ac:dyDescent="0.3">
      <c r="A31" s="32">
        <v>46320</v>
      </c>
      <c r="B31" s="33" t="s">
        <v>64</v>
      </c>
      <c r="C31" s="33" t="s">
        <v>64</v>
      </c>
      <c r="D31" s="34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</row>
    <row r="32" spans="1:34" ht="16.5" customHeight="1" x14ac:dyDescent="0.3">
      <c r="A32" s="27">
        <v>46321</v>
      </c>
      <c r="B32" s="28" t="s">
        <v>65</v>
      </c>
      <c r="C32" s="29" t="s">
        <v>61</v>
      </c>
      <c r="D32" s="30">
        <v>8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</row>
    <row r="33" spans="1:34" ht="16.5" customHeight="1" x14ac:dyDescent="0.3">
      <c r="A33" s="22">
        <v>46322</v>
      </c>
      <c r="B33" s="23" t="s">
        <v>66</v>
      </c>
      <c r="C33" s="24" t="s">
        <v>61</v>
      </c>
      <c r="D33" s="25">
        <v>8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ht="16.5" customHeight="1" x14ac:dyDescent="0.3">
      <c r="A34" s="27">
        <v>46323</v>
      </c>
      <c r="B34" s="28" t="s">
        <v>67</v>
      </c>
      <c r="C34" s="29" t="s">
        <v>61</v>
      </c>
      <c r="D34" s="30">
        <v>8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</row>
    <row r="35" spans="1:34" ht="16.5" customHeight="1" x14ac:dyDescent="0.3">
      <c r="A35" s="22">
        <v>46324</v>
      </c>
      <c r="B35" s="23" t="s">
        <v>60</v>
      </c>
      <c r="C35" s="24" t="s">
        <v>61</v>
      </c>
      <c r="D35" s="25">
        <v>8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ht="16.5" customHeight="1" x14ac:dyDescent="0.3">
      <c r="A36" s="27">
        <v>46325</v>
      </c>
      <c r="B36" s="28" t="s">
        <v>62</v>
      </c>
      <c r="C36" s="29" t="s">
        <v>61</v>
      </c>
      <c r="D36" s="30">
        <v>8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</row>
    <row r="37" spans="1:34" ht="16.5" customHeight="1" x14ac:dyDescent="0.3">
      <c r="A37" s="22">
        <v>46326</v>
      </c>
      <c r="B37" s="23" t="s">
        <v>63</v>
      </c>
      <c r="C37" s="24" t="s">
        <v>61</v>
      </c>
      <c r="D37" s="25">
        <v>8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9" spans="1:34" ht="21.75" customHeight="1" x14ac:dyDescent="0.3">
      <c r="A39" s="60" t="s">
        <v>68</v>
      </c>
      <c r="B39" s="60"/>
      <c r="C39" s="60"/>
      <c r="D39" s="60"/>
      <c r="E39" s="36">
        <f>IF(Setup!B15&lt;&gt;"",SUM(E7:E37),"")</f>
        <v>0</v>
      </c>
      <c r="F39" s="36">
        <f>IF(Setup!B16&lt;&gt;"",SUM(F7:F37),"")</f>
        <v>0</v>
      </c>
      <c r="G39" s="36">
        <f>IF(Setup!B17&lt;&gt;"",SUM(G7:G37),"")</f>
        <v>0</v>
      </c>
      <c r="H39" s="36">
        <f>IF(Setup!B18&lt;&gt;"",SUM(H7:H37),"")</f>
        <v>0</v>
      </c>
      <c r="I39" s="36">
        <f>IF(Setup!B19&lt;&gt;"",SUM(I7:I37),"")</f>
        <v>0</v>
      </c>
      <c r="J39" s="36">
        <f>IF(Setup!B20&lt;&gt;"",SUM(J7:J37),"")</f>
        <v>0</v>
      </c>
      <c r="K39" s="36">
        <f>IF(Setup!B21&lt;&gt;"",SUM(K7:K37),"")</f>
        <v>0</v>
      </c>
      <c r="L39" s="36">
        <f>IF(Setup!B22&lt;&gt;"",SUM(L7:L37),"")</f>
        <v>0</v>
      </c>
      <c r="M39" s="36">
        <f>IF(Setup!B23&lt;&gt;"",SUM(M7:M37),"")</f>
        <v>0</v>
      </c>
      <c r="N39" s="36">
        <f>IF(Setup!B24&lt;&gt;"",SUM(N7:N37),"")</f>
        <v>0</v>
      </c>
      <c r="O39" s="36">
        <f>IF(Setup!B25&lt;&gt;"",SUM(O7:O37),"")</f>
        <v>0</v>
      </c>
      <c r="P39" s="36">
        <f>IF(Setup!B26&lt;&gt;"",SUM(P7:P37),"")</f>
        <v>0</v>
      </c>
      <c r="Q39" s="36">
        <f>IF(Setup!B27&lt;&gt;"",SUM(Q7:Q37),"")</f>
        <v>0</v>
      </c>
      <c r="R39" s="36">
        <f>IF(Setup!B28&lt;&gt;"",SUM(R7:R37),"")</f>
        <v>0</v>
      </c>
      <c r="S39" s="36" t="str">
        <f>IF(Setup!B29&lt;&gt;"",SUM(S7:S37),"")</f>
        <v/>
      </c>
      <c r="T39" s="36" t="str">
        <f>IF(Setup!B30&lt;&gt;"",SUM(T7:T37),"")</f>
        <v/>
      </c>
      <c r="U39" s="36" t="str">
        <f>IF(Setup!B31&lt;&gt;"",SUM(U7:U37),"")</f>
        <v/>
      </c>
      <c r="V39" s="36" t="str">
        <f>IF(Setup!B32&lt;&gt;"",SUM(V7:V37),"")</f>
        <v/>
      </c>
      <c r="W39" s="36" t="str">
        <f>IF(Setup!B33&lt;&gt;"",SUM(W7:W37),"")</f>
        <v/>
      </c>
      <c r="X39" s="36" t="str">
        <f>IF(Setup!B34&lt;&gt;"",SUM(X7:X37),"")</f>
        <v/>
      </c>
      <c r="Y39" s="36" t="str">
        <f>IF(Setup!B35&lt;&gt;"",SUM(Y7:Y37),"")</f>
        <v/>
      </c>
      <c r="Z39" s="36" t="str">
        <f>IF(Setup!B36&lt;&gt;"",SUM(Z7:Z37),"")</f>
        <v/>
      </c>
      <c r="AA39" s="36" t="str">
        <f>IF(Setup!B37&lt;&gt;"",SUM(AA7:AA37),"")</f>
        <v/>
      </c>
      <c r="AB39" s="36" t="str">
        <f>IF(Setup!B38&lt;&gt;"",SUM(AB7:AB37),"")</f>
        <v/>
      </c>
      <c r="AC39" s="36" t="str">
        <f>IF(Setup!B39&lt;&gt;"",SUM(AC7:AC37),"")</f>
        <v/>
      </c>
      <c r="AD39" s="36" t="str">
        <f>IF(Setup!B40&lt;&gt;"",SUM(AD7:AD37),"")</f>
        <v/>
      </c>
      <c r="AE39" s="36" t="str">
        <f>IF(Setup!B41&lt;&gt;"",SUM(AE7:AE37),"")</f>
        <v/>
      </c>
      <c r="AF39" s="36" t="str">
        <f>IF(Setup!B42&lt;&gt;"",SUM(AF7:AF37),"")</f>
        <v/>
      </c>
      <c r="AG39" s="36" t="str">
        <f>IF(Setup!B43&lt;&gt;"",SUM(AG7:AG37),"")</f>
        <v/>
      </c>
      <c r="AH39" s="36" t="str">
        <f>IF(Setup!B44&lt;&gt;"",SUM(AH7:AH37),"")</f>
        <v/>
      </c>
    </row>
    <row r="40" spans="1:34" ht="19.5" customHeight="1" x14ac:dyDescent="0.3">
      <c r="A40" s="61" t="s">
        <v>69</v>
      </c>
      <c r="B40" s="61"/>
      <c r="C40" s="61"/>
      <c r="D40" s="61"/>
      <c r="E40" s="37">
        <f>IF(Setup!B15&lt;&gt;"",COUNTIFS(C7:C37,"WORK",E7:E37,0),"")</f>
        <v>0</v>
      </c>
      <c r="F40" s="37">
        <f>IF(Setup!B16&lt;&gt;"",COUNTIFS(C7:C37,"WORK",F7:F37,0),"")</f>
        <v>0</v>
      </c>
      <c r="G40" s="37">
        <f>IF(Setup!B17&lt;&gt;"",COUNTIFS(C7:C37,"WORK",G7:G37,0),"")</f>
        <v>0</v>
      </c>
      <c r="H40" s="37">
        <f>IF(Setup!B18&lt;&gt;"",COUNTIFS(C7:C37,"WORK",H7:H37,0),"")</f>
        <v>0</v>
      </c>
      <c r="I40" s="37">
        <f>IF(Setup!B19&lt;&gt;"",COUNTIFS(C7:C37,"WORK",I7:I37,0),"")</f>
        <v>0</v>
      </c>
      <c r="J40" s="37">
        <f>IF(Setup!B20&lt;&gt;"",COUNTIFS(C7:C37,"WORK",J7:J37,0),"")</f>
        <v>0</v>
      </c>
      <c r="K40" s="37">
        <f>IF(Setup!B21&lt;&gt;"",COUNTIFS(C7:C37,"WORK",K7:K37,0),"")</f>
        <v>0</v>
      </c>
      <c r="L40" s="37">
        <f>IF(Setup!B22&lt;&gt;"",COUNTIFS(C7:C37,"WORK",L7:L37,0),"")</f>
        <v>0</v>
      </c>
      <c r="M40" s="37">
        <f>IF(Setup!B23&lt;&gt;"",COUNTIFS(C7:C37,"WORK",M7:M37,0),"")</f>
        <v>0</v>
      </c>
      <c r="N40" s="37">
        <f>IF(Setup!B24&lt;&gt;"",COUNTIFS(C7:C37,"WORK",N7:N37,0),"")</f>
        <v>0</v>
      </c>
      <c r="O40" s="37">
        <f>IF(Setup!B25&lt;&gt;"",COUNTIFS(C7:C37,"WORK",O7:O37,0),"")</f>
        <v>0</v>
      </c>
      <c r="P40" s="37">
        <f>IF(Setup!B26&lt;&gt;"",COUNTIFS(C7:C37,"WORK",P7:P37,0),"")</f>
        <v>0</v>
      </c>
      <c r="Q40" s="37">
        <f>IF(Setup!B27&lt;&gt;"",COUNTIFS(C7:C37,"WORK",Q7:Q37,0),"")</f>
        <v>0</v>
      </c>
      <c r="R40" s="37">
        <f>IF(Setup!B28&lt;&gt;"",COUNTIFS(C7:C37,"WORK",R7:R37,0),"")</f>
        <v>0</v>
      </c>
      <c r="S40" s="37" t="str">
        <f>IF(Setup!B29&lt;&gt;"",COUNTIFS(C7:C37,"WORK",S7:S37,0),"")</f>
        <v/>
      </c>
      <c r="T40" s="37" t="str">
        <f>IF(Setup!B30&lt;&gt;"",COUNTIFS(C7:C37,"WORK",T7:T37,0),"")</f>
        <v/>
      </c>
      <c r="U40" s="37" t="str">
        <f>IF(Setup!B31&lt;&gt;"",COUNTIFS(C7:C37,"WORK",U7:U37,0),"")</f>
        <v/>
      </c>
      <c r="V40" s="37" t="str">
        <f>IF(Setup!B32&lt;&gt;"",COUNTIFS(C7:C37,"WORK",V7:V37,0),"")</f>
        <v/>
      </c>
      <c r="W40" s="37" t="str">
        <f>IF(Setup!B33&lt;&gt;"",COUNTIFS(C7:C37,"WORK",W7:W37,0),"")</f>
        <v/>
      </c>
      <c r="X40" s="37" t="str">
        <f>IF(Setup!B34&lt;&gt;"",COUNTIFS(C7:C37,"WORK",X7:X37,0),"")</f>
        <v/>
      </c>
      <c r="Y40" s="37" t="str">
        <f>IF(Setup!B35&lt;&gt;"",COUNTIFS(C7:C37,"WORK",Y7:Y37,0),"")</f>
        <v/>
      </c>
      <c r="Z40" s="37" t="str">
        <f>IF(Setup!B36&lt;&gt;"",COUNTIFS(C7:C37,"WORK",Z7:Z37,0),"")</f>
        <v/>
      </c>
      <c r="AA40" s="37" t="str">
        <f>IF(Setup!B37&lt;&gt;"",COUNTIFS(C7:C37,"WORK",AA7:AA37,0),"")</f>
        <v/>
      </c>
      <c r="AB40" s="37" t="str">
        <f>IF(Setup!B38&lt;&gt;"",COUNTIFS(C7:C37,"WORK",AB7:AB37,0),"")</f>
        <v/>
      </c>
      <c r="AC40" s="37" t="str">
        <f>IF(Setup!B39&lt;&gt;"",COUNTIFS(C7:C37,"WORK",AC7:AC37,0),"")</f>
        <v/>
      </c>
      <c r="AD40" s="37" t="str">
        <f>IF(Setup!B40&lt;&gt;"",COUNTIFS(C7:C37,"WORK",AD7:AD37,0),"")</f>
        <v/>
      </c>
      <c r="AE40" s="37" t="str">
        <f>IF(Setup!B41&lt;&gt;"",COUNTIFS(C7:C37,"WORK",AE7:AE37,0),"")</f>
        <v/>
      </c>
      <c r="AF40" s="37" t="str">
        <f>IF(Setup!B42&lt;&gt;"",COUNTIFS(C7:C37,"WORK",AF7:AF37,0),"")</f>
        <v/>
      </c>
      <c r="AG40" s="37" t="str">
        <f>IF(Setup!B43&lt;&gt;"",COUNTIFS(C7:C37,"WORK",AG7:AG37,0),"")</f>
        <v/>
      </c>
      <c r="AH40" s="37" t="str">
        <f>IF(Setup!B44&lt;&gt;"",COUNTIFS(C7:C37,"WORK",AH7:AH37,0),"")</f>
        <v/>
      </c>
    </row>
  </sheetData>
  <mergeCells count="3">
    <mergeCell ref="A1:AH1"/>
    <mergeCell ref="A39:D39"/>
    <mergeCell ref="A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H39"/>
  <sheetViews>
    <sheetView showGridLines="0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sqref="A1:AH1"/>
    </sheetView>
  </sheetViews>
  <sheetFormatPr defaultColWidth="8.5546875" defaultRowHeight="14.4" x14ac:dyDescent="0.3"/>
  <cols>
    <col min="1" max="1" width="13" customWidth="1"/>
    <col min="2" max="2" width="5" customWidth="1"/>
    <col min="3" max="3" width="7" customWidth="1"/>
    <col min="4" max="4" width="9" customWidth="1"/>
    <col min="5" max="34" width="10" customWidth="1"/>
  </cols>
  <sheetData>
    <row r="1" spans="1:34" ht="31.5" customHeight="1" x14ac:dyDescent="0.3">
      <c r="A1" s="54" t="s">
        <v>88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 ht="19.5" customHeight="1" x14ac:dyDescent="0.3">
      <c r="A2" s="1" t="s">
        <v>53</v>
      </c>
      <c r="B2" s="10" t="s">
        <v>89</v>
      </c>
    </row>
    <row r="3" spans="1:34" ht="19.5" customHeight="1" x14ac:dyDescent="0.3">
      <c r="A3" s="1" t="s">
        <v>55</v>
      </c>
      <c r="B3" s="2">
        <f>Setup!B8</f>
        <v>8</v>
      </c>
    </row>
    <row r="4" spans="1:34" ht="19.5" customHeight="1" x14ac:dyDescent="0.3">
      <c r="A4" s="1" t="s">
        <v>56</v>
      </c>
      <c r="B4" s="10">
        <v>200</v>
      </c>
    </row>
    <row r="6" spans="1:34" ht="31.5" customHeight="1" x14ac:dyDescent="0.3">
      <c r="A6" s="20" t="s">
        <v>4</v>
      </c>
      <c r="B6" s="20" t="s">
        <v>57</v>
      </c>
      <c r="C6" s="20" t="s">
        <v>58</v>
      </c>
      <c r="D6" s="20" t="s">
        <v>59</v>
      </c>
      <c r="E6" s="21" t="str">
        <f>Setup!B15</f>
        <v>Sheraz</v>
      </c>
      <c r="F6" s="21" t="str">
        <f>Setup!B16</f>
        <v>Zain</v>
      </c>
      <c r="G6" s="21" t="str">
        <f>Setup!B17</f>
        <v>Yousaf</v>
      </c>
      <c r="H6" s="21" t="str">
        <f>Setup!B18</f>
        <v>Hamza</v>
      </c>
      <c r="I6" s="21" t="str">
        <f>Setup!B19</f>
        <v>Amjad</v>
      </c>
      <c r="J6" s="21" t="str">
        <f>Setup!B20</f>
        <v>Tanveer</v>
      </c>
      <c r="K6" s="21" t="str">
        <f>Setup!B21</f>
        <v>Ali Zaman</v>
      </c>
      <c r="L6" s="21" t="str">
        <f>Setup!B22</f>
        <v>Awais Ali</v>
      </c>
      <c r="M6" s="21" t="str">
        <f>Setup!B23</f>
        <v>Ishtiaq</v>
      </c>
      <c r="N6" s="21" t="str">
        <f>Setup!B24</f>
        <v>Usama bhai</v>
      </c>
      <c r="O6" s="21" t="str">
        <f>Setup!B25</f>
        <v>Ahtisham</v>
      </c>
      <c r="P6" s="21" t="str">
        <f>Setup!B26</f>
        <v>Factory rent</v>
      </c>
      <c r="Q6" s="21" t="str">
        <f>Setup!B27</f>
        <v>Internet bill</v>
      </c>
      <c r="R6" s="21" t="str">
        <f>Setup!B28</f>
        <v>Saqab</v>
      </c>
      <c r="S6" s="21">
        <f>Setup!B29</f>
        <v>0</v>
      </c>
      <c r="T6" s="21">
        <f>Setup!B30</f>
        <v>0</v>
      </c>
      <c r="U6" s="21">
        <f>Setup!B31</f>
        <v>0</v>
      </c>
      <c r="V6" s="21">
        <f>Setup!B32</f>
        <v>0</v>
      </c>
      <c r="W6" s="21">
        <f>Setup!B33</f>
        <v>0</v>
      </c>
      <c r="X6" s="21">
        <f>Setup!B34</f>
        <v>0</v>
      </c>
      <c r="Y6" s="21">
        <f>Setup!B35</f>
        <v>0</v>
      </c>
      <c r="Z6" s="21">
        <f>Setup!B36</f>
        <v>0</v>
      </c>
      <c r="AA6" s="21">
        <f>Setup!B37</f>
        <v>0</v>
      </c>
      <c r="AB6" s="21">
        <f>Setup!B38</f>
        <v>0</v>
      </c>
      <c r="AC6" s="21">
        <f>Setup!B39</f>
        <v>0</v>
      </c>
      <c r="AD6" s="21">
        <f>Setup!B40</f>
        <v>0</v>
      </c>
      <c r="AE6" s="21">
        <f>Setup!B41</f>
        <v>0</v>
      </c>
      <c r="AF6" s="21">
        <f>Setup!B42</f>
        <v>0</v>
      </c>
      <c r="AG6" s="21">
        <f>Setup!B43</f>
        <v>0</v>
      </c>
      <c r="AH6" s="21">
        <f>Setup!B44</f>
        <v>0</v>
      </c>
    </row>
    <row r="7" spans="1:34" ht="16.5" customHeight="1" x14ac:dyDescent="0.3">
      <c r="A7" s="32">
        <v>46327</v>
      </c>
      <c r="B7" s="33" t="s">
        <v>64</v>
      </c>
      <c r="C7" s="33" t="s">
        <v>64</v>
      </c>
      <c r="D7" s="34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</row>
    <row r="8" spans="1:34" ht="16.5" customHeight="1" x14ac:dyDescent="0.3">
      <c r="A8" s="27">
        <v>46328</v>
      </c>
      <c r="B8" s="28" t="s">
        <v>65</v>
      </c>
      <c r="C8" s="29" t="s">
        <v>61</v>
      </c>
      <c r="D8" s="30">
        <v>8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16.5" customHeight="1" x14ac:dyDescent="0.3">
      <c r="A9" s="22">
        <v>46329</v>
      </c>
      <c r="B9" s="23" t="s">
        <v>66</v>
      </c>
      <c r="C9" s="24" t="s">
        <v>61</v>
      </c>
      <c r="D9" s="25">
        <v>8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 ht="16.5" customHeight="1" x14ac:dyDescent="0.3">
      <c r="A10" s="27">
        <v>46330</v>
      </c>
      <c r="B10" s="28" t="s">
        <v>67</v>
      </c>
      <c r="C10" s="29" t="s">
        <v>61</v>
      </c>
      <c r="D10" s="30">
        <v>8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ht="16.5" customHeight="1" x14ac:dyDescent="0.3">
      <c r="A11" s="22">
        <v>46331</v>
      </c>
      <c r="B11" s="23" t="s">
        <v>60</v>
      </c>
      <c r="C11" s="24" t="s">
        <v>61</v>
      </c>
      <c r="D11" s="25">
        <v>8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ht="16.5" customHeight="1" x14ac:dyDescent="0.3">
      <c r="A12" s="27">
        <v>46332</v>
      </c>
      <c r="B12" s="28" t="s">
        <v>62</v>
      </c>
      <c r="C12" s="29" t="s">
        <v>61</v>
      </c>
      <c r="D12" s="30">
        <v>8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4" ht="16.5" customHeight="1" x14ac:dyDescent="0.3">
      <c r="A13" s="22">
        <v>46333</v>
      </c>
      <c r="B13" s="23" t="s">
        <v>63</v>
      </c>
      <c r="C13" s="24" t="s">
        <v>61</v>
      </c>
      <c r="D13" s="25">
        <v>8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ht="16.5" customHeight="1" x14ac:dyDescent="0.3">
      <c r="A14" s="32">
        <v>46334</v>
      </c>
      <c r="B14" s="33" t="s">
        <v>64</v>
      </c>
      <c r="C14" s="33" t="s">
        <v>64</v>
      </c>
      <c r="D14" s="34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</row>
    <row r="15" spans="1:34" ht="16.5" customHeight="1" x14ac:dyDescent="0.3">
      <c r="A15" s="22">
        <v>46335</v>
      </c>
      <c r="B15" s="23" t="s">
        <v>65</v>
      </c>
      <c r="C15" s="24" t="s">
        <v>61</v>
      </c>
      <c r="D15" s="25">
        <v>8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16.5" customHeight="1" x14ac:dyDescent="0.3">
      <c r="A16" s="27">
        <v>46336</v>
      </c>
      <c r="B16" s="28" t="s">
        <v>66</v>
      </c>
      <c r="C16" s="29" t="s">
        <v>61</v>
      </c>
      <c r="D16" s="30">
        <v>8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</row>
    <row r="17" spans="1:34" ht="16.5" customHeight="1" x14ac:dyDescent="0.3">
      <c r="A17" s="22">
        <v>46337</v>
      </c>
      <c r="B17" s="23" t="s">
        <v>67</v>
      </c>
      <c r="C17" s="24" t="s">
        <v>61</v>
      </c>
      <c r="D17" s="25">
        <v>8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16.5" customHeight="1" x14ac:dyDescent="0.3">
      <c r="A18" s="27">
        <v>46338</v>
      </c>
      <c r="B18" s="28" t="s">
        <v>60</v>
      </c>
      <c r="C18" s="29" t="s">
        <v>61</v>
      </c>
      <c r="D18" s="30">
        <v>8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</row>
    <row r="19" spans="1:34" ht="16.5" customHeight="1" x14ac:dyDescent="0.3">
      <c r="A19" s="22">
        <v>46339</v>
      </c>
      <c r="B19" s="23" t="s">
        <v>62</v>
      </c>
      <c r="C19" s="24" t="s">
        <v>61</v>
      </c>
      <c r="D19" s="25">
        <v>8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16.5" customHeight="1" x14ac:dyDescent="0.3">
      <c r="A20" s="27">
        <v>46340</v>
      </c>
      <c r="B20" s="28" t="s">
        <v>63</v>
      </c>
      <c r="C20" s="29" t="s">
        <v>61</v>
      </c>
      <c r="D20" s="30">
        <v>8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spans="1:34" ht="16.5" customHeight="1" x14ac:dyDescent="0.3">
      <c r="A21" s="32">
        <v>46341</v>
      </c>
      <c r="B21" s="33" t="s">
        <v>64</v>
      </c>
      <c r="C21" s="33" t="s">
        <v>64</v>
      </c>
      <c r="D21" s="34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</row>
    <row r="22" spans="1:34" ht="16.5" customHeight="1" x14ac:dyDescent="0.3">
      <c r="A22" s="27">
        <v>46342</v>
      </c>
      <c r="B22" s="28" t="s">
        <v>65</v>
      </c>
      <c r="C22" s="29" t="s">
        <v>61</v>
      </c>
      <c r="D22" s="30">
        <v>8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 spans="1:34" ht="16.5" customHeight="1" x14ac:dyDescent="0.3">
      <c r="A23" s="22">
        <v>46343</v>
      </c>
      <c r="B23" s="23" t="s">
        <v>66</v>
      </c>
      <c r="C23" s="24" t="s">
        <v>61</v>
      </c>
      <c r="D23" s="25">
        <v>8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16.5" customHeight="1" x14ac:dyDescent="0.3">
      <c r="A24" s="27">
        <v>46344</v>
      </c>
      <c r="B24" s="28" t="s">
        <v>67</v>
      </c>
      <c r="C24" s="29" t="s">
        <v>61</v>
      </c>
      <c r="D24" s="30">
        <v>8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</row>
    <row r="25" spans="1:34" ht="16.5" customHeight="1" x14ac:dyDescent="0.3">
      <c r="A25" s="22">
        <v>46345</v>
      </c>
      <c r="B25" s="23" t="s">
        <v>60</v>
      </c>
      <c r="C25" s="24" t="s">
        <v>61</v>
      </c>
      <c r="D25" s="25">
        <v>8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16.5" customHeight="1" x14ac:dyDescent="0.3">
      <c r="A26" s="27">
        <v>46346</v>
      </c>
      <c r="B26" s="28" t="s">
        <v>62</v>
      </c>
      <c r="C26" s="29" t="s">
        <v>61</v>
      </c>
      <c r="D26" s="30">
        <v>8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 spans="1:34" ht="16.5" customHeight="1" x14ac:dyDescent="0.3">
      <c r="A27" s="22">
        <v>46347</v>
      </c>
      <c r="B27" s="23" t="s">
        <v>63</v>
      </c>
      <c r="C27" s="24" t="s">
        <v>61</v>
      </c>
      <c r="D27" s="25">
        <v>8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16.5" customHeight="1" x14ac:dyDescent="0.3">
      <c r="A28" s="32">
        <v>46348</v>
      </c>
      <c r="B28" s="33" t="s">
        <v>64</v>
      </c>
      <c r="C28" s="33" t="s">
        <v>64</v>
      </c>
      <c r="D28" s="34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</row>
    <row r="29" spans="1:34" ht="16.5" customHeight="1" x14ac:dyDescent="0.3">
      <c r="A29" s="22">
        <v>46349</v>
      </c>
      <c r="B29" s="23" t="s">
        <v>65</v>
      </c>
      <c r="C29" s="24" t="s">
        <v>61</v>
      </c>
      <c r="D29" s="25">
        <v>8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ht="16.5" customHeight="1" x14ac:dyDescent="0.3">
      <c r="A30" s="27">
        <v>46350</v>
      </c>
      <c r="B30" s="28" t="s">
        <v>66</v>
      </c>
      <c r="C30" s="29" t="s">
        <v>61</v>
      </c>
      <c r="D30" s="30">
        <v>8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 spans="1:34" ht="16.5" customHeight="1" x14ac:dyDescent="0.3">
      <c r="A31" s="22">
        <v>46351</v>
      </c>
      <c r="B31" s="23" t="s">
        <v>67</v>
      </c>
      <c r="C31" s="24" t="s">
        <v>61</v>
      </c>
      <c r="D31" s="25">
        <v>8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34" ht="16.5" customHeight="1" x14ac:dyDescent="0.3">
      <c r="A32" s="27">
        <v>46352</v>
      </c>
      <c r="B32" s="28" t="s">
        <v>60</v>
      </c>
      <c r="C32" s="29" t="s">
        <v>61</v>
      </c>
      <c r="D32" s="30">
        <v>8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</row>
    <row r="33" spans="1:34" ht="16.5" customHeight="1" x14ac:dyDescent="0.3">
      <c r="A33" s="22">
        <v>46353</v>
      </c>
      <c r="B33" s="23" t="s">
        <v>62</v>
      </c>
      <c r="C33" s="24" t="s">
        <v>61</v>
      </c>
      <c r="D33" s="25">
        <v>8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ht="16.5" customHeight="1" x14ac:dyDescent="0.3">
      <c r="A34" s="27">
        <v>46354</v>
      </c>
      <c r="B34" s="28" t="s">
        <v>63</v>
      </c>
      <c r="C34" s="29" t="s">
        <v>61</v>
      </c>
      <c r="D34" s="30">
        <v>8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</row>
    <row r="35" spans="1:34" ht="16.5" customHeight="1" x14ac:dyDescent="0.3">
      <c r="A35" s="32">
        <v>46355</v>
      </c>
      <c r="B35" s="33" t="s">
        <v>64</v>
      </c>
      <c r="C35" s="33" t="s">
        <v>64</v>
      </c>
      <c r="D35" s="34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v>0</v>
      </c>
    </row>
    <row r="36" spans="1:34" ht="16.5" customHeight="1" x14ac:dyDescent="0.3">
      <c r="A36" s="27">
        <v>46356</v>
      </c>
      <c r="B36" s="28" t="s">
        <v>65</v>
      </c>
      <c r="C36" s="29" t="s">
        <v>61</v>
      </c>
      <c r="D36" s="30">
        <v>8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</row>
    <row r="38" spans="1:34" ht="21.75" customHeight="1" x14ac:dyDescent="0.3">
      <c r="A38" s="60" t="s">
        <v>68</v>
      </c>
      <c r="B38" s="60"/>
      <c r="C38" s="60"/>
      <c r="D38" s="60"/>
      <c r="E38" s="36">
        <f>IF(Setup!B15&lt;&gt;"",SUM(E7:E36),"")</f>
        <v>0</v>
      </c>
      <c r="F38" s="36">
        <f>IF(Setup!B16&lt;&gt;"",SUM(F7:F36),"")</f>
        <v>0</v>
      </c>
      <c r="G38" s="36">
        <f>IF(Setup!B17&lt;&gt;"",SUM(G7:G36),"")</f>
        <v>0</v>
      </c>
      <c r="H38" s="36">
        <f>IF(Setup!B18&lt;&gt;"",SUM(H7:H36),"")</f>
        <v>0</v>
      </c>
      <c r="I38" s="36">
        <f>IF(Setup!B19&lt;&gt;"",SUM(I7:I36),"")</f>
        <v>0</v>
      </c>
      <c r="J38" s="36">
        <f>IF(Setup!B20&lt;&gt;"",SUM(J7:J36),"")</f>
        <v>0</v>
      </c>
      <c r="K38" s="36">
        <f>IF(Setup!B21&lt;&gt;"",SUM(K7:K36),"")</f>
        <v>0</v>
      </c>
      <c r="L38" s="36">
        <f>IF(Setup!B22&lt;&gt;"",SUM(L7:L36),"")</f>
        <v>0</v>
      </c>
      <c r="M38" s="36">
        <f>IF(Setup!B23&lt;&gt;"",SUM(M7:M36),"")</f>
        <v>0</v>
      </c>
      <c r="N38" s="36">
        <f>IF(Setup!B24&lt;&gt;"",SUM(N7:N36),"")</f>
        <v>0</v>
      </c>
      <c r="O38" s="36">
        <f>IF(Setup!B25&lt;&gt;"",SUM(O7:O36),"")</f>
        <v>0</v>
      </c>
      <c r="P38" s="36">
        <f>IF(Setup!B26&lt;&gt;"",SUM(P7:P36),"")</f>
        <v>0</v>
      </c>
      <c r="Q38" s="36">
        <f>IF(Setup!B27&lt;&gt;"",SUM(Q7:Q36),"")</f>
        <v>0</v>
      </c>
      <c r="R38" s="36">
        <f>IF(Setup!B28&lt;&gt;"",SUM(R7:R36),"")</f>
        <v>0</v>
      </c>
      <c r="S38" s="36" t="str">
        <f>IF(Setup!B29&lt;&gt;"",SUM(S7:S36),"")</f>
        <v/>
      </c>
      <c r="T38" s="36" t="str">
        <f>IF(Setup!B30&lt;&gt;"",SUM(T7:T36),"")</f>
        <v/>
      </c>
      <c r="U38" s="36" t="str">
        <f>IF(Setup!B31&lt;&gt;"",SUM(U7:U36),"")</f>
        <v/>
      </c>
      <c r="V38" s="36" t="str">
        <f>IF(Setup!B32&lt;&gt;"",SUM(V7:V36),"")</f>
        <v/>
      </c>
      <c r="W38" s="36" t="str">
        <f>IF(Setup!B33&lt;&gt;"",SUM(W7:W36),"")</f>
        <v/>
      </c>
      <c r="X38" s="36" t="str">
        <f>IF(Setup!B34&lt;&gt;"",SUM(X7:X36),"")</f>
        <v/>
      </c>
      <c r="Y38" s="36" t="str">
        <f>IF(Setup!B35&lt;&gt;"",SUM(Y7:Y36),"")</f>
        <v/>
      </c>
      <c r="Z38" s="36" t="str">
        <f>IF(Setup!B36&lt;&gt;"",SUM(Z7:Z36),"")</f>
        <v/>
      </c>
      <c r="AA38" s="36" t="str">
        <f>IF(Setup!B37&lt;&gt;"",SUM(AA7:AA36),"")</f>
        <v/>
      </c>
      <c r="AB38" s="36" t="str">
        <f>IF(Setup!B38&lt;&gt;"",SUM(AB7:AB36),"")</f>
        <v/>
      </c>
      <c r="AC38" s="36" t="str">
        <f>IF(Setup!B39&lt;&gt;"",SUM(AC7:AC36),"")</f>
        <v/>
      </c>
      <c r="AD38" s="36" t="str">
        <f>IF(Setup!B40&lt;&gt;"",SUM(AD7:AD36),"")</f>
        <v/>
      </c>
      <c r="AE38" s="36" t="str">
        <f>IF(Setup!B41&lt;&gt;"",SUM(AE7:AE36),"")</f>
        <v/>
      </c>
      <c r="AF38" s="36" t="str">
        <f>IF(Setup!B42&lt;&gt;"",SUM(AF7:AF36),"")</f>
        <v/>
      </c>
      <c r="AG38" s="36" t="str">
        <f>IF(Setup!B43&lt;&gt;"",SUM(AG7:AG36),"")</f>
        <v/>
      </c>
      <c r="AH38" s="36" t="str">
        <f>IF(Setup!B44&lt;&gt;"",SUM(AH7:AH36),"")</f>
        <v/>
      </c>
    </row>
    <row r="39" spans="1:34" ht="19.5" customHeight="1" x14ac:dyDescent="0.3">
      <c r="A39" s="61" t="s">
        <v>69</v>
      </c>
      <c r="B39" s="61"/>
      <c r="C39" s="61"/>
      <c r="D39" s="61"/>
      <c r="E39" s="37">
        <f>IF(Setup!B15&lt;&gt;"",COUNTIFS(C7:C36,"WORK",E7:E36,0),"")</f>
        <v>0</v>
      </c>
      <c r="F39" s="37">
        <f>IF(Setup!B16&lt;&gt;"",COUNTIFS(C7:C36,"WORK",F7:F36,0),"")</f>
        <v>0</v>
      </c>
      <c r="G39" s="37">
        <f>IF(Setup!B17&lt;&gt;"",COUNTIFS(C7:C36,"WORK",G7:G36,0),"")</f>
        <v>0</v>
      </c>
      <c r="H39" s="37">
        <f>IF(Setup!B18&lt;&gt;"",COUNTIFS(C7:C36,"WORK",H7:H36,0),"")</f>
        <v>0</v>
      </c>
      <c r="I39" s="37">
        <f>IF(Setup!B19&lt;&gt;"",COUNTIFS(C7:C36,"WORK",I7:I36,0),"")</f>
        <v>0</v>
      </c>
      <c r="J39" s="37">
        <f>IF(Setup!B20&lt;&gt;"",COUNTIFS(C7:C36,"WORK",J7:J36,0),"")</f>
        <v>0</v>
      </c>
      <c r="K39" s="37">
        <f>IF(Setup!B21&lt;&gt;"",COUNTIFS(C7:C36,"WORK",K7:K36,0),"")</f>
        <v>0</v>
      </c>
      <c r="L39" s="37">
        <f>IF(Setup!B22&lt;&gt;"",COUNTIFS(C7:C36,"WORK",L7:L36,0),"")</f>
        <v>0</v>
      </c>
      <c r="M39" s="37">
        <f>IF(Setup!B23&lt;&gt;"",COUNTIFS(C7:C36,"WORK",M7:M36,0),"")</f>
        <v>0</v>
      </c>
      <c r="N39" s="37">
        <f>IF(Setup!B24&lt;&gt;"",COUNTIFS(C7:C36,"WORK",N7:N36,0),"")</f>
        <v>0</v>
      </c>
      <c r="O39" s="37">
        <f>IF(Setup!B25&lt;&gt;"",COUNTIFS(C7:C36,"WORK",O7:O36,0),"")</f>
        <v>0</v>
      </c>
      <c r="P39" s="37">
        <f>IF(Setup!B26&lt;&gt;"",COUNTIFS(C7:C36,"WORK",P7:P36,0),"")</f>
        <v>0</v>
      </c>
      <c r="Q39" s="37">
        <f>IF(Setup!B27&lt;&gt;"",COUNTIFS(C7:C36,"WORK",Q7:Q36,0),"")</f>
        <v>0</v>
      </c>
      <c r="R39" s="37">
        <f>IF(Setup!B28&lt;&gt;"",COUNTIFS(C7:C36,"WORK",R7:R36,0),"")</f>
        <v>0</v>
      </c>
      <c r="S39" s="37" t="str">
        <f>IF(Setup!B29&lt;&gt;"",COUNTIFS(C7:C36,"WORK",S7:S36,0),"")</f>
        <v/>
      </c>
      <c r="T39" s="37" t="str">
        <f>IF(Setup!B30&lt;&gt;"",COUNTIFS(C7:C36,"WORK",T7:T36,0),"")</f>
        <v/>
      </c>
      <c r="U39" s="37" t="str">
        <f>IF(Setup!B31&lt;&gt;"",COUNTIFS(C7:C36,"WORK",U7:U36,0),"")</f>
        <v/>
      </c>
      <c r="V39" s="37" t="str">
        <f>IF(Setup!B32&lt;&gt;"",COUNTIFS(C7:C36,"WORK",V7:V36,0),"")</f>
        <v/>
      </c>
      <c r="W39" s="37" t="str">
        <f>IF(Setup!B33&lt;&gt;"",COUNTIFS(C7:C36,"WORK",W7:W36,0),"")</f>
        <v/>
      </c>
      <c r="X39" s="37" t="str">
        <f>IF(Setup!B34&lt;&gt;"",COUNTIFS(C7:C36,"WORK",X7:X36,0),"")</f>
        <v/>
      </c>
      <c r="Y39" s="37" t="str">
        <f>IF(Setup!B35&lt;&gt;"",COUNTIFS(C7:C36,"WORK",Y7:Y36,0),"")</f>
        <v/>
      </c>
      <c r="Z39" s="37" t="str">
        <f>IF(Setup!B36&lt;&gt;"",COUNTIFS(C7:C36,"WORK",Z7:Z36,0),"")</f>
        <v/>
      </c>
      <c r="AA39" s="37" t="str">
        <f>IF(Setup!B37&lt;&gt;"",COUNTIFS(C7:C36,"WORK",AA7:AA36,0),"")</f>
        <v/>
      </c>
      <c r="AB39" s="37" t="str">
        <f>IF(Setup!B38&lt;&gt;"",COUNTIFS(C7:C36,"WORK",AB7:AB36,0),"")</f>
        <v/>
      </c>
      <c r="AC39" s="37" t="str">
        <f>IF(Setup!B39&lt;&gt;"",COUNTIFS(C7:C36,"WORK",AC7:AC36,0),"")</f>
        <v/>
      </c>
      <c r="AD39" s="37" t="str">
        <f>IF(Setup!B40&lt;&gt;"",COUNTIFS(C7:C36,"WORK",AD7:AD36,0),"")</f>
        <v/>
      </c>
      <c r="AE39" s="37" t="str">
        <f>IF(Setup!B41&lt;&gt;"",COUNTIFS(C7:C36,"WORK",AE7:AE36,0),"")</f>
        <v/>
      </c>
      <c r="AF39" s="37" t="str">
        <f>IF(Setup!B42&lt;&gt;"",COUNTIFS(C7:C36,"WORK",AF7:AF36,0),"")</f>
        <v/>
      </c>
      <c r="AG39" s="37" t="str">
        <f>IF(Setup!B43&lt;&gt;"",COUNTIFS(C7:C36,"WORK",AG7:AG36,0),"")</f>
        <v/>
      </c>
      <c r="AH39" s="37" t="str">
        <f>IF(Setup!B44&lt;&gt;"",COUNTIFS(C7:C36,"WORK",AH7:AH36,0),"")</f>
        <v/>
      </c>
    </row>
  </sheetData>
  <mergeCells count="3">
    <mergeCell ref="A1:AH1"/>
    <mergeCell ref="A38:D38"/>
    <mergeCell ref="A39:D39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AH40"/>
  <sheetViews>
    <sheetView showGridLines="0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sqref="A1:AH1"/>
    </sheetView>
  </sheetViews>
  <sheetFormatPr defaultColWidth="8.5546875" defaultRowHeight="14.4" x14ac:dyDescent="0.3"/>
  <cols>
    <col min="1" max="1" width="13" customWidth="1"/>
    <col min="2" max="2" width="5" customWidth="1"/>
    <col min="3" max="3" width="7" customWidth="1"/>
    <col min="4" max="4" width="9" customWidth="1"/>
    <col min="5" max="34" width="10" customWidth="1"/>
  </cols>
  <sheetData>
    <row r="1" spans="1:34" ht="31.5" customHeight="1" x14ac:dyDescent="0.3">
      <c r="A1" s="54" t="s">
        <v>90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 ht="19.5" customHeight="1" x14ac:dyDescent="0.3">
      <c r="A2" s="1" t="s">
        <v>53</v>
      </c>
      <c r="B2" s="10" t="s">
        <v>91</v>
      </c>
    </row>
    <row r="3" spans="1:34" ht="19.5" customHeight="1" x14ac:dyDescent="0.3">
      <c r="A3" s="1" t="s">
        <v>55</v>
      </c>
      <c r="B3" s="2">
        <f>Setup!B8</f>
        <v>8</v>
      </c>
    </row>
    <row r="4" spans="1:34" ht="19.5" customHeight="1" x14ac:dyDescent="0.3">
      <c r="A4" s="1" t="s">
        <v>56</v>
      </c>
      <c r="B4" s="10">
        <v>216</v>
      </c>
    </row>
    <row r="6" spans="1:34" ht="31.5" customHeight="1" x14ac:dyDescent="0.3">
      <c r="A6" s="20" t="s">
        <v>4</v>
      </c>
      <c r="B6" s="20" t="s">
        <v>57</v>
      </c>
      <c r="C6" s="20" t="s">
        <v>58</v>
      </c>
      <c r="D6" s="20" t="s">
        <v>59</v>
      </c>
      <c r="E6" s="21" t="str">
        <f>Setup!B15</f>
        <v>Sheraz</v>
      </c>
      <c r="F6" s="21" t="str">
        <f>Setup!B16</f>
        <v>Zain</v>
      </c>
      <c r="G6" s="21" t="str">
        <f>Setup!B17</f>
        <v>Yousaf</v>
      </c>
      <c r="H6" s="21" t="str">
        <f>Setup!B18</f>
        <v>Hamza</v>
      </c>
      <c r="I6" s="21" t="str">
        <f>Setup!B19</f>
        <v>Amjad</v>
      </c>
      <c r="J6" s="21" t="str">
        <f>Setup!B20</f>
        <v>Tanveer</v>
      </c>
      <c r="K6" s="21" t="str">
        <f>Setup!B21</f>
        <v>Ali Zaman</v>
      </c>
      <c r="L6" s="21" t="str">
        <f>Setup!B22</f>
        <v>Awais Ali</v>
      </c>
      <c r="M6" s="21" t="str">
        <f>Setup!B23</f>
        <v>Ishtiaq</v>
      </c>
      <c r="N6" s="21" t="str">
        <f>Setup!B24</f>
        <v>Usama bhai</v>
      </c>
      <c r="O6" s="21" t="str">
        <f>Setup!B25</f>
        <v>Ahtisham</v>
      </c>
      <c r="P6" s="21" t="str">
        <f>Setup!B26</f>
        <v>Factory rent</v>
      </c>
      <c r="Q6" s="21" t="str">
        <f>Setup!B27</f>
        <v>Internet bill</v>
      </c>
      <c r="R6" s="21" t="str">
        <f>Setup!B28</f>
        <v>Saqab</v>
      </c>
      <c r="S6" s="21">
        <f>Setup!B29</f>
        <v>0</v>
      </c>
      <c r="T6" s="21">
        <f>Setup!B30</f>
        <v>0</v>
      </c>
      <c r="U6" s="21">
        <f>Setup!B31</f>
        <v>0</v>
      </c>
      <c r="V6" s="21">
        <f>Setup!B32</f>
        <v>0</v>
      </c>
      <c r="W6" s="21">
        <f>Setup!B33</f>
        <v>0</v>
      </c>
      <c r="X6" s="21">
        <f>Setup!B34</f>
        <v>0</v>
      </c>
      <c r="Y6" s="21">
        <f>Setup!B35</f>
        <v>0</v>
      </c>
      <c r="Z6" s="21">
        <f>Setup!B36</f>
        <v>0</v>
      </c>
      <c r="AA6" s="21">
        <f>Setup!B37</f>
        <v>0</v>
      </c>
      <c r="AB6" s="21">
        <f>Setup!B38</f>
        <v>0</v>
      </c>
      <c r="AC6" s="21">
        <f>Setup!B39</f>
        <v>0</v>
      </c>
      <c r="AD6" s="21">
        <f>Setup!B40</f>
        <v>0</v>
      </c>
      <c r="AE6" s="21">
        <f>Setup!B41</f>
        <v>0</v>
      </c>
      <c r="AF6" s="21">
        <f>Setup!B42</f>
        <v>0</v>
      </c>
      <c r="AG6" s="21">
        <f>Setup!B43</f>
        <v>0</v>
      </c>
      <c r="AH6" s="21">
        <f>Setup!B44</f>
        <v>0</v>
      </c>
    </row>
    <row r="7" spans="1:34" ht="16.5" customHeight="1" x14ac:dyDescent="0.3">
      <c r="A7" s="22">
        <v>46357</v>
      </c>
      <c r="B7" s="23" t="s">
        <v>66</v>
      </c>
      <c r="C7" s="24" t="s">
        <v>61</v>
      </c>
      <c r="D7" s="25">
        <v>8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ht="16.5" customHeight="1" x14ac:dyDescent="0.3">
      <c r="A8" s="27">
        <v>46358</v>
      </c>
      <c r="B8" s="28" t="s">
        <v>67</v>
      </c>
      <c r="C8" s="29" t="s">
        <v>61</v>
      </c>
      <c r="D8" s="30">
        <v>8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16.5" customHeight="1" x14ac:dyDescent="0.3">
      <c r="A9" s="22">
        <v>46359</v>
      </c>
      <c r="B9" s="23" t="s">
        <v>60</v>
      </c>
      <c r="C9" s="24" t="s">
        <v>61</v>
      </c>
      <c r="D9" s="25">
        <v>8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 ht="16.5" customHeight="1" x14ac:dyDescent="0.3">
      <c r="A10" s="27">
        <v>46360</v>
      </c>
      <c r="B10" s="28" t="s">
        <v>62</v>
      </c>
      <c r="C10" s="29" t="s">
        <v>61</v>
      </c>
      <c r="D10" s="30">
        <v>8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ht="16.5" customHeight="1" x14ac:dyDescent="0.3">
      <c r="A11" s="22">
        <v>46361</v>
      </c>
      <c r="B11" s="23" t="s">
        <v>63</v>
      </c>
      <c r="C11" s="24" t="s">
        <v>61</v>
      </c>
      <c r="D11" s="25">
        <v>8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ht="16.5" customHeight="1" x14ac:dyDescent="0.3">
      <c r="A12" s="32">
        <v>46362</v>
      </c>
      <c r="B12" s="33" t="s">
        <v>64</v>
      </c>
      <c r="C12" s="33" t="s">
        <v>64</v>
      </c>
      <c r="D12" s="34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  <c r="X12" s="35">
        <v>0</v>
      </c>
      <c r="Y12" s="35">
        <v>0</v>
      </c>
      <c r="Z12" s="35">
        <v>0</v>
      </c>
      <c r="AA12" s="35">
        <v>0</v>
      </c>
      <c r="AB12" s="35">
        <v>0</v>
      </c>
      <c r="AC12" s="35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</row>
    <row r="13" spans="1:34" ht="16.5" customHeight="1" x14ac:dyDescent="0.3">
      <c r="A13" s="22">
        <v>46363</v>
      </c>
      <c r="B13" s="23" t="s">
        <v>65</v>
      </c>
      <c r="C13" s="24" t="s">
        <v>61</v>
      </c>
      <c r="D13" s="25">
        <v>8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ht="16.5" customHeight="1" x14ac:dyDescent="0.3">
      <c r="A14" s="27">
        <v>46364</v>
      </c>
      <c r="B14" s="28" t="s">
        <v>66</v>
      </c>
      <c r="C14" s="29" t="s">
        <v>61</v>
      </c>
      <c r="D14" s="30">
        <v>8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</row>
    <row r="15" spans="1:34" ht="16.5" customHeight="1" x14ac:dyDescent="0.3">
      <c r="A15" s="22">
        <v>46365</v>
      </c>
      <c r="B15" s="23" t="s">
        <v>67</v>
      </c>
      <c r="C15" s="24" t="s">
        <v>61</v>
      </c>
      <c r="D15" s="25">
        <v>8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16.5" customHeight="1" x14ac:dyDescent="0.3">
      <c r="A16" s="27">
        <v>46366</v>
      </c>
      <c r="B16" s="28" t="s">
        <v>60</v>
      </c>
      <c r="C16" s="29" t="s">
        <v>61</v>
      </c>
      <c r="D16" s="30">
        <v>8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</row>
    <row r="17" spans="1:34" ht="16.5" customHeight="1" x14ac:dyDescent="0.3">
      <c r="A17" s="22">
        <v>46367</v>
      </c>
      <c r="B17" s="23" t="s">
        <v>62</v>
      </c>
      <c r="C17" s="24" t="s">
        <v>61</v>
      </c>
      <c r="D17" s="25">
        <v>8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16.5" customHeight="1" x14ac:dyDescent="0.3">
      <c r="A18" s="27">
        <v>46368</v>
      </c>
      <c r="B18" s="28" t="s">
        <v>63</v>
      </c>
      <c r="C18" s="29" t="s">
        <v>61</v>
      </c>
      <c r="D18" s="30">
        <v>8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</row>
    <row r="19" spans="1:34" ht="16.5" customHeight="1" x14ac:dyDescent="0.3">
      <c r="A19" s="32">
        <v>46369</v>
      </c>
      <c r="B19" s="33" t="s">
        <v>64</v>
      </c>
      <c r="C19" s="33" t="s">
        <v>64</v>
      </c>
      <c r="D19" s="34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  <c r="Y19" s="35">
        <v>0</v>
      </c>
      <c r="Z19" s="35">
        <v>0</v>
      </c>
      <c r="AA19" s="35">
        <v>0</v>
      </c>
      <c r="AB19" s="35">
        <v>0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</row>
    <row r="20" spans="1:34" ht="16.5" customHeight="1" x14ac:dyDescent="0.3">
      <c r="A20" s="27">
        <v>46370</v>
      </c>
      <c r="B20" s="28" t="s">
        <v>65</v>
      </c>
      <c r="C20" s="29" t="s">
        <v>61</v>
      </c>
      <c r="D20" s="30">
        <v>8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spans="1:34" ht="16.5" customHeight="1" x14ac:dyDescent="0.3">
      <c r="A21" s="22">
        <v>46371</v>
      </c>
      <c r="B21" s="23" t="s">
        <v>66</v>
      </c>
      <c r="C21" s="24" t="s">
        <v>61</v>
      </c>
      <c r="D21" s="25">
        <v>8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16.5" customHeight="1" x14ac:dyDescent="0.3">
      <c r="A22" s="27">
        <v>46372</v>
      </c>
      <c r="B22" s="28" t="s">
        <v>67</v>
      </c>
      <c r="C22" s="29" t="s">
        <v>61</v>
      </c>
      <c r="D22" s="30">
        <v>8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 spans="1:34" ht="16.5" customHeight="1" x14ac:dyDescent="0.3">
      <c r="A23" s="22">
        <v>46373</v>
      </c>
      <c r="B23" s="23" t="s">
        <v>60</v>
      </c>
      <c r="C23" s="24" t="s">
        <v>61</v>
      </c>
      <c r="D23" s="25">
        <v>8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16.5" customHeight="1" x14ac:dyDescent="0.3">
      <c r="A24" s="27">
        <v>46374</v>
      </c>
      <c r="B24" s="28" t="s">
        <v>62</v>
      </c>
      <c r="C24" s="29" t="s">
        <v>61</v>
      </c>
      <c r="D24" s="30">
        <v>8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</row>
    <row r="25" spans="1:34" ht="16.5" customHeight="1" x14ac:dyDescent="0.3">
      <c r="A25" s="22">
        <v>46375</v>
      </c>
      <c r="B25" s="23" t="s">
        <v>63</v>
      </c>
      <c r="C25" s="24" t="s">
        <v>61</v>
      </c>
      <c r="D25" s="25">
        <v>8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16.5" customHeight="1" x14ac:dyDescent="0.3">
      <c r="A26" s="32">
        <v>46376</v>
      </c>
      <c r="B26" s="33" t="s">
        <v>64</v>
      </c>
      <c r="C26" s="33" t="s">
        <v>64</v>
      </c>
      <c r="D26" s="34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5">
        <v>0</v>
      </c>
      <c r="AC26" s="35">
        <v>0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</row>
    <row r="27" spans="1:34" ht="16.5" customHeight="1" x14ac:dyDescent="0.3">
      <c r="A27" s="22">
        <v>46377</v>
      </c>
      <c r="B27" s="23" t="s">
        <v>65</v>
      </c>
      <c r="C27" s="24" t="s">
        <v>61</v>
      </c>
      <c r="D27" s="25">
        <v>8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16.5" customHeight="1" x14ac:dyDescent="0.3">
      <c r="A28" s="27">
        <v>46378</v>
      </c>
      <c r="B28" s="28" t="s">
        <v>66</v>
      </c>
      <c r="C28" s="29" t="s">
        <v>61</v>
      </c>
      <c r="D28" s="30">
        <v>8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</row>
    <row r="29" spans="1:34" ht="16.5" customHeight="1" x14ac:dyDescent="0.3">
      <c r="A29" s="22">
        <v>46379</v>
      </c>
      <c r="B29" s="23" t="s">
        <v>67</v>
      </c>
      <c r="C29" s="24" t="s">
        <v>61</v>
      </c>
      <c r="D29" s="25">
        <v>8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ht="16.5" customHeight="1" x14ac:dyDescent="0.3">
      <c r="A30" s="27">
        <v>46380</v>
      </c>
      <c r="B30" s="28" t="s">
        <v>60</v>
      </c>
      <c r="C30" s="29" t="s">
        <v>61</v>
      </c>
      <c r="D30" s="30">
        <v>8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 spans="1:34" ht="16.5" customHeight="1" x14ac:dyDescent="0.3">
      <c r="A31" s="22">
        <v>46381</v>
      </c>
      <c r="B31" s="23" t="s">
        <v>62</v>
      </c>
      <c r="C31" s="24" t="s">
        <v>61</v>
      </c>
      <c r="D31" s="25">
        <v>8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34" ht="16.5" customHeight="1" x14ac:dyDescent="0.3">
      <c r="A32" s="27">
        <v>46382</v>
      </c>
      <c r="B32" s="28" t="s">
        <v>63</v>
      </c>
      <c r="C32" s="29" t="s">
        <v>61</v>
      </c>
      <c r="D32" s="30">
        <v>8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</row>
    <row r="33" spans="1:34" ht="16.5" customHeight="1" x14ac:dyDescent="0.3">
      <c r="A33" s="32">
        <v>46383</v>
      </c>
      <c r="B33" s="33" t="s">
        <v>64</v>
      </c>
      <c r="C33" s="33" t="s">
        <v>64</v>
      </c>
      <c r="D33" s="34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</row>
    <row r="34" spans="1:34" ht="16.5" customHeight="1" x14ac:dyDescent="0.3">
      <c r="A34" s="27">
        <v>46384</v>
      </c>
      <c r="B34" s="28" t="s">
        <v>65</v>
      </c>
      <c r="C34" s="29" t="s">
        <v>61</v>
      </c>
      <c r="D34" s="30">
        <v>8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</row>
    <row r="35" spans="1:34" ht="16.5" customHeight="1" x14ac:dyDescent="0.3">
      <c r="A35" s="22">
        <v>46385</v>
      </c>
      <c r="B35" s="23" t="s">
        <v>66</v>
      </c>
      <c r="C35" s="24" t="s">
        <v>61</v>
      </c>
      <c r="D35" s="25">
        <v>8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ht="16.5" customHeight="1" x14ac:dyDescent="0.3">
      <c r="A36" s="27">
        <v>46386</v>
      </c>
      <c r="B36" s="28" t="s">
        <v>67</v>
      </c>
      <c r="C36" s="29" t="s">
        <v>61</v>
      </c>
      <c r="D36" s="30">
        <v>8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</row>
    <row r="37" spans="1:34" ht="16.5" customHeight="1" x14ac:dyDescent="0.3">
      <c r="A37" s="22">
        <v>46387</v>
      </c>
      <c r="B37" s="23" t="s">
        <v>60</v>
      </c>
      <c r="C37" s="24" t="s">
        <v>61</v>
      </c>
      <c r="D37" s="25">
        <v>8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9" spans="1:34" ht="21.75" customHeight="1" x14ac:dyDescent="0.3">
      <c r="A39" s="60" t="s">
        <v>68</v>
      </c>
      <c r="B39" s="60"/>
      <c r="C39" s="60"/>
      <c r="D39" s="60"/>
      <c r="E39" s="36">
        <f>IF(Setup!B15&lt;&gt;"",SUM(E7:E37),"")</f>
        <v>0</v>
      </c>
      <c r="F39" s="36">
        <f>IF(Setup!B16&lt;&gt;"",SUM(F7:F37),"")</f>
        <v>0</v>
      </c>
      <c r="G39" s="36">
        <f>IF(Setup!B17&lt;&gt;"",SUM(G7:G37),"")</f>
        <v>0</v>
      </c>
      <c r="H39" s="36">
        <f>IF(Setup!B18&lt;&gt;"",SUM(H7:H37),"")</f>
        <v>0</v>
      </c>
      <c r="I39" s="36">
        <f>IF(Setup!B19&lt;&gt;"",SUM(I7:I37),"")</f>
        <v>0</v>
      </c>
      <c r="J39" s="36">
        <f>IF(Setup!B20&lt;&gt;"",SUM(J7:J37),"")</f>
        <v>0</v>
      </c>
      <c r="K39" s="36">
        <f>IF(Setup!B21&lt;&gt;"",SUM(K7:K37),"")</f>
        <v>0</v>
      </c>
      <c r="L39" s="36">
        <f>IF(Setup!B22&lt;&gt;"",SUM(L7:L37),"")</f>
        <v>0</v>
      </c>
      <c r="M39" s="36">
        <f>IF(Setup!B23&lt;&gt;"",SUM(M7:M37),"")</f>
        <v>0</v>
      </c>
      <c r="N39" s="36">
        <f>IF(Setup!B24&lt;&gt;"",SUM(N7:N37),"")</f>
        <v>0</v>
      </c>
      <c r="O39" s="36">
        <f>IF(Setup!B25&lt;&gt;"",SUM(O7:O37),"")</f>
        <v>0</v>
      </c>
      <c r="P39" s="36">
        <f>IF(Setup!B26&lt;&gt;"",SUM(P7:P37),"")</f>
        <v>0</v>
      </c>
      <c r="Q39" s="36">
        <f>IF(Setup!B27&lt;&gt;"",SUM(Q7:Q37),"")</f>
        <v>0</v>
      </c>
      <c r="R39" s="36">
        <f>IF(Setup!B28&lt;&gt;"",SUM(R7:R37),"")</f>
        <v>0</v>
      </c>
      <c r="S39" s="36" t="str">
        <f>IF(Setup!B29&lt;&gt;"",SUM(S7:S37),"")</f>
        <v/>
      </c>
      <c r="T39" s="36" t="str">
        <f>IF(Setup!B30&lt;&gt;"",SUM(T7:T37),"")</f>
        <v/>
      </c>
      <c r="U39" s="36" t="str">
        <f>IF(Setup!B31&lt;&gt;"",SUM(U7:U37),"")</f>
        <v/>
      </c>
      <c r="V39" s="36" t="str">
        <f>IF(Setup!B32&lt;&gt;"",SUM(V7:V37),"")</f>
        <v/>
      </c>
      <c r="W39" s="36" t="str">
        <f>IF(Setup!B33&lt;&gt;"",SUM(W7:W37),"")</f>
        <v/>
      </c>
      <c r="X39" s="36" t="str">
        <f>IF(Setup!B34&lt;&gt;"",SUM(X7:X37),"")</f>
        <v/>
      </c>
      <c r="Y39" s="36" t="str">
        <f>IF(Setup!B35&lt;&gt;"",SUM(Y7:Y37),"")</f>
        <v/>
      </c>
      <c r="Z39" s="36" t="str">
        <f>IF(Setup!B36&lt;&gt;"",SUM(Z7:Z37),"")</f>
        <v/>
      </c>
      <c r="AA39" s="36" t="str">
        <f>IF(Setup!B37&lt;&gt;"",SUM(AA7:AA37),"")</f>
        <v/>
      </c>
      <c r="AB39" s="36" t="str">
        <f>IF(Setup!B38&lt;&gt;"",SUM(AB7:AB37),"")</f>
        <v/>
      </c>
      <c r="AC39" s="36" t="str">
        <f>IF(Setup!B39&lt;&gt;"",SUM(AC7:AC37),"")</f>
        <v/>
      </c>
      <c r="AD39" s="36" t="str">
        <f>IF(Setup!B40&lt;&gt;"",SUM(AD7:AD37),"")</f>
        <v/>
      </c>
      <c r="AE39" s="36" t="str">
        <f>IF(Setup!B41&lt;&gt;"",SUM(AE7:AE37),"")</f>
        <v/>
      </c>
      <c r="AF39" s="36" t="str">
        <f>IF(Setup!B42&lt;&gt;"",SUM(AF7:AF37),"")</f>
        <v/>
      </c>
      <c r="AG39" s="36" t="str">
        <f>IF(Setup!B43&lt;&gt;"",SUM(AG7:AG37),"")</f>
        <v/>
      </c>
      <c r="AH39" s="36" t="str">
        <f>IF(Setup!B44&lt;&gt;"",SUM(AH7:AH37),"")</f>
        <v/>
      </c>
    </row>
    <row r="40" spans="1:34" ht="19.5" customHeight="1" x14ac:dyDescent="0.3">
      <c r="A40" s="61" t="s">
        <v>69</v>
      </c>
      <c r="B40" s="61"/>
      <c r="C40" s="61"/>
      <c r="D40" s="61"/>
      <c r="E40" s="37">
        <f>IF(Setup!B15&lt;&gt;"",COUNTIFS(C7:C37,"WORK",E7:E37,0),"")</f>
        <v>0</v>
      </c>
      <c r="F40" s="37">
        <f>IF(Setup!B16&lt;&gt;"",COUNTIFS(C7:C37,"WORK",F7:F37,0),"")</f>
        <v>0</v>
      </c>
      <c r="G40" s="37">
        <f>IF(Setup!B17&lt;&gt;"",COUNTIFS(C7:C37,"WORK",G7:G37,0),"")</f>
        <v>0</v>
      </c>
      <c r="H40" s="37">
        <f>IF(Setup!B18&lt;&gt;"",COUNTIFS(C7:C37,"WORK",H7:H37,0),"")</f>
        <v>0</v>
      </c>
      <c r="I40" s="37">
        <f>IF(Setup!B19&lt;&gt;"",COUNTIFS(C7:C37,"WORK",I7:I37,0),"")</f>
        <v>0</v>
      </c>
      <c r="J40" s="37">
        <f>IF(Setup!B20&lt;&gt;"",COUNTIFS(C7:C37,"WORK",J7:J37,0),"")</f>
        <v>0</v>
      </c>
      <c r="K40" s="37">
        <f>IF(Setup!B21&lt;&gt;"",COUNTIFS(C7:C37,"WORK",K7:K37,0),"")</f>
        <v>0</v>
      </c>
      <c r="L40" s="37">
        <f>IF(Setup!B22&lt;&gt;"",COUNTIFS(C7:C37,"WORK",L7:L37,0),"")</f>
        <v>0</v>
      </c>
      <c r="M40" s="37">
        <f>IF(Setup!B23&lt;&gt;"",COUNTIFS(C7:C37,"WORK",M7:M37,0),"")</f>
        <v>0</v>
      </c>
      <c r="N40" s="37">
        <f>IF(Setup!B24&lt;&gt;"",COUNTIFS(C7:C37,"WORK",N7:N37,0),"")</f>
        <v>0</v>
      </c>
      <c r="O40" s="37">
        <f>IF(Setup!B25&lt;&gt;"",COUNTIFS(C7:C37,"WORK",O7:O37,0),"")</f>
        <v>0</v>
      </c>
      <c r="P40" s="37">
        <f>IF(Setup!B26&lt;&gt;"",COUNTIFS(C7:C37,"WORK",P7:P37,0),"")</f>
        <v>0</v>
      </c>
      <c r="Q40" s="37">
        <f>IF(Setup!B27&lt;&gt;"",COUNTIFS(C7:C37,"WORK",Q7:Q37,0),"")</f>
        <v>0</v>
      </c>
      <c r="R40" s="37">
        <f>IF(Setup!B28&lt;&gt;"",COUNTIFS(C7:C37,"WORK",R7:R37,0),"")</f>
        <v>0</v>
      </c>
      <c r="S40" s="37" t="str">
        <f>IF(Setup!B29&lt;&gt;"",COUNTIFS(C7:C37,"WORK",S7:S37,0),"")</f>
        <v/>
      </c>
      <c r="T40" s="37" t="str">
        <f>IF(Setup!B30&lt;&gt;"",COUNTIFS(C7:C37,"WORK",T7:T37,0),"")</f>
        <v/>
      </c>
      <c r="U40" s="37" t="str">
        <f>IF(Setup!B31&lt;&gt;"",COUNTIFS(C7:C37,"WORK",U7:U37,0),"")</f>
        <v/>
      </c>
      <c r="V40" s="37" t="str">
        <f>IF(Setup!B32&lt;&gt;"",COUNTIFS(C7:C37,"WORK",V7:V37,0),"")</f>
        <v/>
      </c>
      <c r="W40" s="37" t="str">
        <f>IF(Setup!B33&lt;&gt;"",COUNTIFS(C7:C37,"WORK",W7:W37,0),"")</f>
        <v/>
      </c>
      <c r="X40" s="37" t="str">
        <f>IF(Setup!B34&lt;&gt;"",COUNTIFS(C7:C37,"WORK",X7:X37,0),"")</f>
        <v/>
      </c>
      <c r="Y40" s="37" t="str">
        <f>IF(Setup!B35&lt;&gt;"",COUNTIFS(C7:C37,"WORK",Y7:Y37,0),"")</f>
        <v/>
      </c>
      <c r="Z40" s="37" t="str">
        <f>IF(Setup!B36&lt;&gt;"",COUNTIFS(C7:C37,"WORK",Z7:Z37,0),"")</f>
        <v/>
      </c>
      <c r="AA40" s="37" t="str">
        <f>IF(Setup!B37&lt;&gt;"",COUNTIFS(C7:C37,"WORK",AA7:AA37,0),"")</f>
        <v/>
      </c>
      <c r="AB40" s="37" t="str">
        <f>IF(Setup!B38&lt;&gt;"",COUNTIFS(C7:C37,"WORK",AB7:AB37,0),"")</f>
        <v/>
      </c>
      <c r="AC40" s="37" t="str">
        <f>IF(Setup!B39&lt;&gt;"",COUNTIFS(C7:C37,"WORK",AC7:AC37,0),"")</f>
        <v/>
      </c>
      <c r="AD40" s="37" t="str">
        <f>IF(Setup!B40&lt;&gt;"",COUNTIFS(C7:C37,"WORK",AD7:AD37,0),"")</f>
        <v/>
      </c>
      <c r="AE40" s="37" t="str">
        <f>IF(Setup!B41&lt;&gt;"",COUNTIFS(C7:C37,"WORK",AE7:AE37,0),"")</f>
        <v/>
      </c>
      <c r="AF40" s="37" t="str">
        <f>IF(Setup!B42&lt;&gt;"",COUNTIFS(C7:C37,"WORK",AF7:AF37,0),"")</f>
        <v/>
      </c>
      <c r="AG40" s="37" t="str">
        <f>IF(Setup!B43&lt;&gt;"",COUNTIFS(C7:C37,"WORK",AG7:AG37,0),"")</f>
        <v/>
      </c>
      <c r="AH40" s="37" t="str">
        <f>IF(Setup!B44&lt;&gt;"",COUNTIFS(C7:C37,"WORK",AH7:AH37,0),"")</f>
        <v/>
      </c>
    </row>
  </sheetData>
  <mergeCells count="3">
    <mergeCell ref="A1:AH1"/>
    <mergeCell ref="A39:D39"/>
    <mergeCell ref="A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6600"/>
  </sheetPr>
  <dimension ref="A1:R40"/>
  <sheetViews>
    <sheetView showGridLines="0" zoomScaleNormal="100" workbookViewId="0">
      <pane ySplit="7" topLeftCell="A8" activePane="bottomLeft" state="frozen"/>
      <selection pane="bottomLeft" sqref="A1:R1"/>
    </sheetView>
  </sheetViews>
  <sheetFormatPr defaultColWidth="8.5546875" defaultRowHeight="14.4" x14ac:dyDescent="0.3"/>
  <cols>
    <col min="1" max="1" width="22" customWidth="1"/>
    <col min="2" max="2" width="15" customWidth="1"/>
    <col min="3" max="4" width="11" customWidth="1"/>
    <col min="5" max="5" width="10" customWidth="1"/>
    <col min="6" max="7" width="12" customWidth="1"/>
    <col min="8" max="8" width="10" customWidth="1"/>
    <col min="9" max="9" width="14" customWidth="1"/>
    <col min="10" max="10" width="13" customWidth="1"/>
    <col min="11" max="11" width="16" customWidth="1"/>
    <col min="12" max="12" width="14" customWidth="1"/>
    <col min="13" max="16" width="12" customWidth="1"/>
    <col min="17" max="17" width="15" customWidth="1"/>
    <col min="18" max="18" width="14" customWidth="1"/>
  </cols>
  <sheetData>
    <row r="1" spans="1:18" ht="31.5" customHeight="1" x14ac:dyDescent="0.3">
      <c r="A1" s="54" t="s">
        <v>92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1" t="s">
        <v>93</v>
      </c>
      <c r="B2" s="10" t="s">
        <v>94</v>
      </c>
    </row>
    <row r="3" spans="1:18" ht="19.5" customHeight="1" x14ac:dyDescent="0.3">
      <c r="A3" s="1" t="s">
        <v>95</v>
      </c>
      <c r="B3" s="10">
        <v>216</v>
      </c>
    </row>
    <row r="4" spans="1:18" ht="19.5" customHeight="1" x14ac:dyDescent="0.3">
      <c r="A4" s="1" t="s">
        <v>14</v>
      </c>
      <c r="B4" s="38">
        <f>Setup!B9</f>
        <v>1.5</v>
      </c>
    </row>
    <row r="5" spans="1:18" ht="19.5" customHeight="1" x14ac:dyDescent="0.3">
      <c r="A5" s="1" t="s">
        <v>16</v>
      </c>
      <c r="B5" s="12">
        <f>Setup!B10</f>
        <v>0</v>
      </c>
    </row>
    <row r="7" spans="1:18" ht="36" customHeight="1" x14ac:dyDescent="0.3">
      <c r="A7" s="39" t="s">
        <v>37</v>
      </c>
      <c r="B7" s="39" t="s">
        <v>96</v>
      </c>
      <c r="C7" s="39" t="s">
        <v>97</v>
      </c>
      <c r="D7" s="39" t="s">
        <v>98</v>
      </c>
      <c r="E7" s="39" t="s">
        <v>99</v>
      </c>
      <c r="F7" s="39" t="s">
        <v>100</v>
      </c>
      <c r="G7" s="39" t="s">
        <v>101</v>
      </c>
      <c r="H7" s="39" t="s">
        <v>102</v>
      </c>
      <c r="I7" s="21" t="s">
        <v>103</v>
      </c>
      <c r="J7" s="21" t="s">
        <v>104</v>
      </c>
      <c r="K7" s="21" t="s">
        <v>105</v>
      </c>
      <c r="L7" s="21" t="s">
        <v>106</v>
      </c>
      <c r="M7" s="21" t="s">
        <v>107</v>
      </c>
      <c r="N7" s="21" t="s">
        <v>108</v>
      </c>
      <c r="O7" s="21" t="s">
        <v>109</v>
      </c>
      <c r="P7" s="21" t="s">
        <v>110</v>
      </c>
      <c r="Q7" s="21" t="s">
        <v>111</v>
      </c>
      <c r="R7" s="21" t="s">
        <v>112</v>
      </c>
    </row>
    <row r="8" spans="1:18" ht="21.75" customHeight="1" x14ac:dyDescent="0.3">
      <c r="A8" s="1" t="str">
        <f>Setup!B15</f>
        <v>Sheraz</v>
      </c>
      <c r="B8" s="40">
        <f>IF(Setup!B15&lt;&gt;"",Setup!C15,"")</f>
        <v>38000</v>
      </c>
      <c r="C8" s="41">
        <f>IF(Setup!B15&lt;&gt;"",$B3,"")</f>
        <v>216</v>
      </c>
      <c r="D8" s="42">
        <f>IF(Setup!B15&lt;&gt;"",Attendance_Jan!E39,"")</f>
        <v>189.3</v>
      </c>
      <c r="E8" s="41">
        <f>IF(Setup!B15&lt;&gt;"",Attendance_Jan!E40,"")</f>
        <v>0</v>
      </c>
      <c r="F8" s="43">
        <f>IFERROR(IF(Setup!B15&lt;&gt;"",B8/C8,""),"")</f>
        <v>175.92592592592592</v>
      </c>
      <c r="G8" s="42">
        <f>IF(Setup!B15&lt;&gt;"",MIN(D8,C8),"")</f>
        <v>189.3</v>
      </c>
      <c r="H8" s="42">
        <f>IF(Setup!B15&lt;&gt;"",MAX(D8-C8,0),"")</f>
        <v>0</v>
      </c>
      <c r="I8" s="16">
        <f>IF(Setup!B15&lt;&gt;"",F8*G8,"")</f>
        <v>33302.777777777781</v>
      </c>
      <c r="J8" s="16">
        <f>IF(Setup!B15&lt;&gt;"",F8*H8*$B4,"")</f>
        <v>0</v>
      </c>
      <c r="K8" s="16">
        <f>IF(Setup!B15&lt;&gt;"",IF(E8=0,$B5,0),"")</f>
        <v>0</v>
      </c>
      <c r="L8" s="44">
        <f>IF(Setup!B15&lt;&gt;"",I8+J8+K8,"")</f>
        <v>33302.777777777781</v>
      </c>
      <c r="M8" s="45">
        <f>IF(Setup!B15&lt;&gt;"",0,"")</f>
        <v>0</v>
      </c>
      <c r="N8" s="46">
        <v>0</v>
      </c>
      <c r="O8" s="46">
        <v>0</v>
      </c>
      <c r="P8" s="44">
        <f>IF(Setup!B15&lt;&gt;"",M8+N8-O8,"")</f>
        <v>0</v>
      </c>
      <c r="Q8" s="46">
        <v>0</v>
      </c>
      <c r="R8" s="47">
        <f>IF(Setup!B15&lt;&gt;"",L8-O8-Q8,"")</f>
        <v>33302.777777777781</v>
      </c>
    </row>
    <row r="9" spans="1:18" ht="21.75" customHeight="1" x14ac:dyDescent="0.3">
      <c r="A9" s="18" t="str">
        <f>Setup!B16</f>
        <v>Zain</v>
      </c>
      <c r="B9" s="48">
        <f>IF(Setup!B16&lt;&gt;"",Setup!C16,"")</f>
        <v>53000</v>
      </c>
      <c r="C9" s="49">
        <f>IF(Setup!B16&lt;&gt;"",$B3,"")</f>
        <v>216</v>
      </c>
      <c r="D9" s="50">
        <f>IF(Setup!B16&lt;&gt;"",Attendance_Jan!F39,"")</f>
        <v>214.95000000000002</v>
      </c>
      <c r="E9" s="49">
        <f>IF(Setup!B16&lt;&gt;"",Attendance_Jan!F40,"")</f>
        <v>0</v>
      </c>
      <c r="F9" s="51">
        <f>IFERROR(IF(Setup!B16&lt;&gt;"",B9/C9,""),"")</f>
        <v>245.37037037037038</v>
      </c>
      <c r="G9" s="50">
        <f>IF(Setup!B16&lt;&gt;"",MIN(D9,C9),"")</f>
        <v>214.95000000000002</v>
      </c>
      <c r="H9" s="50">
        <f>IF(Setup!B16&lt;&gt;"",MAX(D9-C9,0),"")</f>
        <v>0</v>
      </c>
      <c r="I9" s="19">
        <f>IF(Setup!B16&lt;&gt;"",F9*G9,"")</f>
        <v>52742.361111111117</v>
      </c>
      <c r="J9" s="19">
        <f>IF(Setup!B16&lt;&gt;"",F9*H9*$B4,"")</f>
        <v>0</v>
      </c>
      <c r="K9" s="19">
        <f>IF(Setup!B16&lt;&gt;"",IF(E9=0,$B5,0),"")</f>
        <v>0</v>
      </c>
      <c r="L9" s="52">
        <f>IF(Setup!B16&lt;&gt;"",I9+J9+K9,"")</f>
        <v>52742.361111111117</v>
      </c>
      <c r="M9" s="53">
        <f>IF(Setup!B16&lt;&gt;"",0,"")</f>
        <v>0</v>
      </c>
      <c r="N9" s="46">
        <v>0</v>
      </c>
      <c r="O9" s="46">
        <v>0</v>
      </c>
      <c r="P9" s="52">
        <f>IF(Setup!B16&lt;&gt;"",M9+N9-O9,"")</f>
        <v>0</v>
      </c>
      <c r="Q9" s="46">
        <v>0</v>
      </c>
      <c r="R9" s="47">
        <f>IF(Setup!B16&lt;&gt;"",L9-O9-Q9,"")</f>
        <v>52742.361111111117</v>
      </c>
    </row>
    <row r="10" spans="1:18" ht="21.75" customHeight="1" x14ac:dyDescent="0.3">
      <c r="A10" s="1" t="str">
        <f>Setup!B17</f>
        <v>Yousaf</v>
      </c>
      <c r="B10" s="40">
        <f>IF(Setup!B17&lt;&gt;"",Setup!C17,"")</f>
        <v>28000</v>
      </c>
      <c r="C10" s="41">
        <f>IF(Setup!B17&lt;&gt;"",$B3,"")</f>
        <v>216</v>
      </c>
      <c r="D10" s="42">
        <f>IF(Setup!B17&lt;&gt;"",Attendance_Jan!G39,"")</f>
        <v>213.3</v>
      </c>
      <c r="E10" s="41">
        <f>IF(Setup!B17&lt;&gt;"",Attendance_Jan!G40,"")</f>
        <v>0</v>
      </c>
      <c r="F10" s="43">
        <f>IFERROR(IF(Setup!B17&lt;&gt;"",B10/C10,""),"")</f>
        <v>129.62962962962962</v>
      </c>
      <c r="G10" s="42">
        <f>IF(Setup!B17&lt;&gt;"",MIN(D10,C10),"")</f>
        <v>213.3</v>
      </c>
      <c r="H10" s="42">
        <f>IF(Setup!B17&lt;&gt;"",MAX(D10-C10,0),"")</f>
        <v>0</v>
      </c>
      <c r="I10" s="16">
        <f>IF(Setup!B17&lt;&gt;"",F10*G10,"")</f>
        <v>27650</v>
      </c>
      <c r="J10" s="16">
        <f>IF(Setup!B17&lt;&gt;"",F10*H10*$B4,"")</f>
        <v>0</v>
      </c>
      <c r="K10" s="16">
        <f>IF(Setup!B17&lt;&gt;"",IF(E10=0,$B5,0),"")</f>
        <v>0</v>
      </c>
      <c r="L10" s="44">
        <f>IF(Setup!B17&lt;&gt;"",I10+J10+K10,"")</f>
        <v>27650</v>
      </c>
      <c r="M10" s="45">
        <f>IF(Setup!B17&lt;&gt;"",0,"")</f>
        <v>0</v>
      </c>
      <c r="N10" s="46">
        <v>0</v>
      </c>
      <c r="O10" s="46">
        <v>0</v>
      </c>
      <c r="P10" s="44">
        <f>IF(Setup!B17&lt;&gt;"",M10+N10-O10,"")</f>
        <v>0</v>
      </c>
      <c r="Q10" s="46">
        <v>0</v>
      </c>
      <c r="R10" s="47">
        <f>IF(Setup!B17&lt;&gt;"",L10-O10-Q10,"")</f>
        <v>27650</v>
      </c>
    </row>
    <row r="11" spans="1:18" ht="21.75" customHeight="1" x14ac:dyDescent="0.3">
      <c r="A11" s="18" t="str">
        <f>Setup!B18</f>
        <v>Hamza</v>
      </c>
      <c r="B11" s="48">
        <f>IF(Setup!B18&lt;&gt;"",Setup!C18,"")</f>
        <v>25000</v>
      </c>
      <c r="C11" s="49">
        <f>IF(Setup!B18&lt;&gt;"",$B3,"")</f>
        <v>216</v>
      </c>
      <c r="D11" s="50">
        <f>IF(Setup!B18&lt;&gt;"",Attendance_Jan!H39,"")</f>
        <v>162.30000000000001</v>
      </c>
      <c r="E11" s="49">
        <f>IF(Setup!B18&lt;&gt;"",Attendance_Jan!H40,"")</f>
        <v>0</v>
      </c>
      <c r="F11" s="51">
        <f>IFERROR(IF(Setup!B18&lt;&gt;"",B11/C11,""),"")</f>
        <v>115.74074074074075</v>
      </c>
      <c r="G11" s="50">
        <f>IF(Setup!B18&lt;&gt;"",MIN(D11,C11),"")</f>
        <v>162.30000000000001</v>
      </c>
      <c r="H11" s="50">
        <f>IF(Setup!B18&lt;&gt;"",MAX(D11-C11,0),"")</f>
        <v>0</v>
      </c>
      <c r="I11" s="19">
        <f>IF(Setup!B18&lt;&gt;"",F11*G11,"")</f>
        <v>18784.722222222226</v>
      </c>
      <c r="J11" s="19">
        <f>IF(Setup!B18&lt;&gt;"",F11*H11*$B4,"")</f>
        <v>0</v>
      </c>
      <c r="K11" s="19">
        <f>IF(Setup!B18&lt;&gt;"",IF(E11=0,$B5,0),"")</f>
        <v>0</v>
      </c>
      <c r="L11" s="52">
        <f>IF(Setup!B18&lt;&gt;"",I11+J11+K11,"")</f>
        <v>18784.722222222226</v>
      </c>
      <c r="M11" s="53">
        <f>IF(Setup!B18&lt;&gt;"",0,"")</f>
        <v>0</v>
      </c>
      <c r="N11" s="46">
        <v>0</v>
      </c>
      <c r="O11" s="46">
        <v>0</v>
      </c>
      <c r="P11" s="52">
        <f>IF(Setup!B18&lt;&gt;"",M11+N11-O11,"")</f>
        <v>0</v>
      </c>
      <c r="Q11" s="46">
        <v>0</v>
      </c>
      <c r="R11" s="47">
        <f>IF(Setup!B18&lt;&gt;"",L11-O11-Q11,"")</f>
        <v>18784.722222222226</v>
      </c>
    </row>
    <row r="12" spans="1:18" ht="21.75" customHeight="1" x14ac:dyDescent="0.3">
      <c r="A12" s="1" t="str">
        <f>Setup!B19</f>
        <v>Amjad</v>
      </c>
      <c r="B12" s="40">
        <f>IF(Setup!B19&lt;&gt;"",Setup!C19,"")</f>
        <v>25000</v>
      </c>
      <c r="C12" s="41">
        <f>IF(Setup!B19&lt;&gt;"",$B3,"")</f>
        <v>216</v>
      </c>
      <c r="D12" s="42">
        <f>IF(Setup!B19&lt;&gt;"",Attendance_Jan!I39,"")</f>
        <v>243</v>
      </c>
      <c r="E12" s="41">
        <f>IF(Setup!B19&lt;&gt;"",Attendance_Jan!I40,"")</f>
        <v>0</v>
      </c>
      <c r="F12" s="43">
        <f>IFERROR(IF(Setup!B19&lt;&gt;"",B12/C12,""),"")</f>
        <v>115.74074074074075</v>
      </c>
      <c r="G12" s="42">
        <f>IF(Setup!B19&lt;&gt;"",MIN(D12,C12),"")</f>
        <v>216</v>
      </c>
      <c r="H12" s="42">
        <f>IF(Setup!B19&lt;&gt;"",MAX(D12-C12,0),"")</f>
        <v>27</v>
      </c>
      <c r="I12" s="16">
        <f>IF(Setup!B19&lt;&gt;"",F12*G12,"")</f>
        <v>25000</v>
      </c>
      <c r="J12" s="16">
        <f>IF(Setup!B19&lt;&gt;"",F12*H12*$B4,"")</f>
        <v>4687.5</v>
      </c>
      <c r="K12" s="16">
        <f>IF(Setup!B19&lt;&gt;"",IF(E12=0,$B5,0),"")</f>
        <v>0</v>
      </c>
      <c r="L12" s="44">
        <f>IF(Setup!B19&lt;&gt;"",I12+J12+K12,"")</f>
        <v>29687.5</v>
      </c>
      <c r="M12" s="45">
        <f>IF(Setup!B19&lt;&gt;"",0,"")</f>
        <v>0</v>
      </c>
      <c r="N12" s="46">
        <v>0</v>
      </c>
      <c r="O12" s="46">
        <v>0</v>
      </c>
      <c r="P12" s="44">
        <f>IF(Setup!B19&lt;&gt;"",M12+N12-O12,"")</f>
        <v>0</v>
      </c>
      <c r="Q12" s="46">
        <v>0</v>
      </c>
      <c r="R12" s="47">
        <f>IF(Setup!B19&lt;&gt;"",L12-O12-Q12,"")</f>
        <v>29687.5</v>
      </c>
    </row>
    <row r="13" spans="1:18" ht="21.75" customHeight="1" x14ac:dyDescent="0.3">
      <c r="A13" s="18" t="str">
        <f>Setup!B20</f>
        <v>Tanveer</v>
      </c>
      <c r="B13" s="48">
        <f>IF(Setup!B20&lt;&gt;"",Setup!C20,"")</f>
        <v>25000</v>
      </c>
      <c r="C13" s="49">
        <f>IF(Setup!B20&lt;&gt;"",$B3,"")</f>
        <v>216</v>
      </c>
      <c r="D13" s="50">
        <f>IF(Setup!B20&lt;&gt;"",Attendance_Jan!J39,"")</f>
        <v>135</v>
      </c>
      <c r="E13" s="49">
        <f>IF(Setup!B20&lt;&gt;"",Attendance_Jan!J40,"")</f>
        <v>0</v>
      </c>
      <c r="F13" s="51">
        <f>IFERROR(IF(Setup!B20&lt;&gt;"",B13/C13,""),"")</f>
        <v>115.74074074074075</v>
      </c>
      <c r="G13" s="50">
        <f>IF(Setup!B20&lt;&gt;"",MIN(D13,C13),"")</f>
        <v>135</v>
      </c>
      <c r="H13" s="50">
        <f>IF(Setup!B20&lt;&gt;"",MAX(D13-C13,0),"")</f>
        <v>0</v>
      </c>
      <c r="I13" s="19">
        <f>IF(Setup!B20&lt;&gt;"",F13*G13,"")</f>
        <v>15625.000000000002</v>
      </c>
      <c r="J13" s="19">
        <f>IF(Setup!B20&lt;&gt;"",F13*H13*$B4,"")</f>
        <v>0</v>
      </c>
      <c r="K13" s="19">
        <f>IF(Setup!B20&lt;&gt;"",IF(E13=0,$B5,0),"")</f>
        <v>0</v>
      </c>
      <c r="L13" s="52">
        <f>IF(Setup!B20&lt;&gt;"",I13+J13+K13,"")</f>
        <v>15625.000000000002</v>
      </c>
      <c r="M13" s="53">
        <f>IF(Setup!B20&lt;&gt;"",0,"")</f>
        <v>0</v>
      </c>
      <c r="N13" s="46">
        <v>0</v>
      </c>
      <c r="O13" s="46">
        <v>0</v>
      </c>
      <c r="P13" s="52">
        <f>IF(Setup!B20&lt;&gt;"",M13+N13-O13,"")</f>
        <v>0</v>
      </c>
      <c r="Q13" s="46">
        <v>0</v>
      </c>
      <c r="R13" s="47">
        <f>IF(Setup!B20&lt;&gt;"",L13-O13-Q13,"")</f>
        <v>15625.000000000002</v>
      </c>
    </row>
    <row r="14" spans="1:18" ht="21.75" customHeight="1" x14ac:dyDescent="0.3">
      <c r="A14" s="1" t="str">
        <f>Setup!B21</f>
        <v>Ali Zaman</v>
      </c>
      <c r="B14" s="40">
        <f>IF(Setup!B21&lt;&gt;"",Setup!C21,"")</f>
        <v>75000</v>
      </c>
      <c r="C14" s="41">
        <f>IF(Setup!B21&lt;&gt;"",$B3,"")</f>
        <v>216</v>
      </c>
      <c r="D14" s="42">
        <f>IF(Setup!B21&lt;&gt;"",Attendance_Jan!K39,"")</f>
        <v>215.45</v>
      </c>
      <c r="E14" s="41">
        <f>IF(Setup!B21&lt;&gt;"",Attendance_Jan!K40,"")</f>
        <v>0</v>
      </c>
      <c r="F14" s="43">
        <f>IFERROR(IF(Setup!B21&lt;&gt;"",B14/C14,""),"")</f>
        <v>347.22222222222223</v>
      </c>
      <c r="G14" s="42">
        <f>IF(Setup!B21&lt;&gt;"",MIN(D14,C14),"")</f>
        <v>215.45</v>
      </c>
      <c r="H14" s="42">
        <f>IF(Setup!B21&lt;&gt;"",MAX(D14-C14,0),"")</f>
        <v>0</v>
      </c>
      <c r="I14" s="16">
        <f>IF(Setup!B21&lt;&gt;"",F14*G14,"")</f>
        <v>74809.027777777781</v>
      </c>
      <c r="J14" s="16">
        <f>IF(Setup!B21&lt;&gt;"",F14*H14*$B4,"")</f>
        <v>0</v>
      </c>
      <c r="K14" s="16">
        <f>IF(Setup!B21&lt;&gt;"",IF(E14=0,$B5,0),"")</f>
        <v>0</v>
      </c>
      <c r="L14" s="44">
        <f>IF(Setup!B21&lt;&gt;"",I14+J14+K14,"")</f>
        <v>74809.027777777781</v>
      </c>
      <c r="M14" s="45">
        <f>IF(Setup!B21&lt;&gt;"",0,"")</f>
        <v>0</v>
      </c>
      <c r="N14" s="46">
        <v>0</v>
      </c>
      <c r="O14" s="46">
        <v>0</v>
      </c>
      <c r="P14" s="44">
        <f>IF(Setup!B21&lt;&gt;"",M14+N14-O14,"")</f>
        <v>0</v>
      </c>
      <c r="Q14" s="46">
        <v>0</v>
      </c>
      <c r="R14" s="47">
        <f>IF(Setup!B21&lt;&gt;"",L14-O14-Q14,"")</f>
        <v>74809.027777777781</v>
      </c>
    </row>
    <row r="15" spans="1:18" ht="21.75" customHeight="1" x14ac:dyDescent="0.3">
      <c r="A15" s="18" t="str">
        <f>Setup!B22</f>
        <v>Awais Ali</v>
      </c>
      <c r="B15" s="48">
        <f>IF(Setup!B22&lt;&gt;"",Setup!C22,"")</f>
        <v>25000</v>
      </c>
      <c r="C15" s="49">
        <f>IF(Setup!B22&lt;&gt;"",$B3,"")</f>
        <v>216</v>
      </c>
      <c r="D15" s="50">
        <f>IF(Setup!B22&lt;&gt;"",Attendance_Jan!L39,"")</f>
        <v>162</v>
      </c>
      <c r="E15" s="49">
        <f>IF(Setup!B22&lt;&gt;"",Attendance_Jan!L40,"")</f>
        <v>0</v>
      </c>
      <c r="F15" s="51">
        <f>IFERROR(IF(Setup!B22&lt;&gt;"",B15/C15,""),"")</f>
        <v>115.74074074074075</v>
      </c>
      <c r="G15" s="50">
        <f>IF(Setup!B22&lt;&gt;"",MIN(D15,C15),"")</f>
        <v>162</v>
      </c>
      <c r="H15" s="50">
        <f>IF(Setup!B22&lt;&gt;"",MAX(D15-C15,0),"")</f>
        <v>0</v>
      </c>
      <c r="I15" s="19">
        <f>IF(Setup!B22&lt;&gt;"",F15*G15,"")</f>
        <v>18750</v>
      </c>
      <c r="J15" s="19">
        <f>IF(Setup!B22&lt;&gt;"",F15*H15*$B4,"")</f>
        <v>0</v>
      </c>
      <c r="K15" s="19">
        <f>IF(Setup!B22&lt;&gt;"",IF(E15=0,$B5,0),"")</f>
        <v>0</v>
      </c>
      <c r="L15" s="52">
        <f>IF(Setup!B22&lt;&gt;"",I15+J15+K15,"")</f>
        <v>18750</v>
      </c>
      <c r="M15" s="53">
        <f>IF(Setup!B22&lt;&gt;"",0,"")</f>
        <v>0</v>
      </c>
      <c r="N15" s="46">
        <v>0</v>
      </c>
      <c r="O15" s="46">
        <v>0</v>
      </c>
      <c r="P15" s="52">
        <f>IF(Setup!B22&lt;&gt;"",M15+N15-O15,"")</f>
        <v>0</v>
      </c>
      <c r="Q15" s="46">
        <v>0</v>
      </c>
      <c r="R15" s="47">
        <f>IF(Setup!B22&lt;&gt;"",L15-O15-Q15,"")</f>
        <v>18750</v>
      </c>
    </row>
    <row r="16" spans="1:18" ht="21.75" customHeight="1" x14ac:dyDescent="0.3">
      <c r="A16" s="1" t="str">
        <f>Setup!B23</f>
        <v>Ishtiaq</v>
      </c>
      <c r="B16" s="40">
        <f>IF(Setup!B23&lt;&gt;"",Setup!C23,"")</f>
        <v>25000</v>
      </c>
      <c r="C16" s="41">
        <f>IF(Setup!B23&lt;&gt;"",$B3,"")</f>
        <v>216</v>
      </c>
      <c r="D16" s="42">
        <f>IF(Setup!B23&lt;&gt;"",Attendance_Jan!M39,"")</f>
        <v>243</v>
      </c>
      <c r="E16" s="41">
        <f>IF(Setup!B23&lt;&gt;"",Attendance_Jan!M40,"")</f>
        <v>0</v>
      </c>
      <c r="F16" s="43">
        <f>IFERROR(IF(Setup!B23&lt;&gt;"",B16/C16,""),"")</f>
        <v>115.74074074074075</v>
      </c>
      <c r="G16" s="42">
        <f>IF(Setup!B23&lt;&gt;"",MIN(D16,C16),"")</f>
        <v>216</v>
      </c>
      <c r="H16" s="42">
        <f>IF(Setup!B23&lt;&gt;"",MAX(D16-C16,0),"")</f>
        <v>27</v>
      </c>
      <c r="I16" s="16">
        <f>IF(Setup!B23&lt;&gt;"",F16*G16,"")</f>
        <v>25000</v>
      </c>
      <c r="J16" s="16">
        <f>IF(Setup!B23&lt;&gt;"",F16*H16*$B4,"")</f>
        <v>4687.5</v>
      </c>
      <c r="K16" s="16">
        <f>IF(Setup!B23&lt;&gt;"",IF(E16=0,$B5,0),"")</f>
        <v>0</v>
      </c>
      <c r="L16" s="44">
        <f>IF(Setup!B23&lt;&gt;"",I16+J16+K16,"")</f>
        <v>29687.5</v>
      </c>
      <c r="M16" s="45">
        <f>IF(Setup!B23&lt;&gt;"",0,"")</f>
        <v>0</v>
      </c>
      <c r="N16" s="46">
        <v>0</v>
      </c>
      <c r="O16" s="46">
        <v>0</v>
      </c>
      <c r="P16" s="44">
        <f>IF(Setup!B23&lt;&gt;"",M16+N16-O16,"")</f>
        <v>0</v>
      </c>
      <c r="Q16" s="46">
        <v>0</v>
      </c>
      <c r="R16" s="47">
        <f>IF(Setup!B23&lt;&gt;"",L16-O16-Q16,"")</f>
        <v>29687.5</v>
      </c>
    </row>
    <row r="17" spans="1:18" ht="21.75" customHeight="1" x14ac:dyDescent="0.3">
      <c r="A17" s="18" t="str">
        <f>Setup!B24</f>
        <v>Usama bhai</v>
      </c>
      <c r="B17" s="48">
        <f>IF(Setup!B24&lt;&gt;"",Setup!C24,"")</f>
        <v>50000</v>
      </c>
      <c r="C17" s="49">
        <f>IF(Setup!B24&lt;&gt;"",$B3,"")</f>
        <v>216</v>
      </c>
      <c r="D17" s="50">
        <f>IF(Setup!B24&lt;&gt;"",Attendance_Jan!N39,"")</f>
        <v>135</v>
      </c>
      <c r="E17" s="49">
        <f>IF(Setup!B24&lt;&gt;"",Attendance_Jan!N40,"")</f>
        <v>0</v>
      </c>
      <c r="F17" s="51">
        <f>IFERROR(IF(Setup!B24&lt;&gt;"",B17/C17,""),"")</f>
        <v>231.4814814814815</v>
      </c>
      <c r="G17" s="50">
        <f>IF(Setup!B24&lt;&gt;"",MIN(D17,C17),"")</f>
        <v>135</v>
      </c>
      <c r="H17" s="50">
        <f>IF(Setup!B24&lt;&gt;"",MAX(D17-C17,0),"")</f>
        <v>0</v>
      </c>
      <c r="I17" s="19">
        <f>IF(Setup!B24&lt;&gt;"",F17*G17,"")</f>
        <v>31250.000000000004</v>
      </c>
      <c r="J17" s="19">
        <f>IF(Setup!B24&lt;&gt;"",F17*H17*$B4,"")</f>
        <v>0</v>
      </c>
      <c r="K17" s="19">
        <f>IF(Setup!B24&lt;&gt;"",IF(E17=0,$B5,0),"")</f>
        <v>0</v>
      </c>
      <c r="L17" s="52">
        <f>IF(Setup!B24&lt;&gt;"",I17+J17+K17,"")</f>
        <v>31250.000000000004</v>
      </c>
      <c r="M17" s="53">
        <f>IF(Setup!B24&lt;&gt;"",0,"")</f>
        <v>0</v>
      </c>
      <c r="N17" s="46">
        <v>0</v>
      </c>
      <c r="O17" s="46">
        <v>0</v>
      </c>
      <c r="P17" s="52">
        <f>IF(Setup!B24&lt;&gt;"",M17+N17-O17,"")</f>
        <v>0</v>
      </c>
      <c r="Q17" s="46">
        <v>0</v>
      </c>
      <c r="R17" s="47">
        <f>IF(Setup!B24&lt;&gt;"",L17-O17-Q17,"")</f>
        <v>31250.000000000004</v>
      </c>
    </row>
    <row r="18" spans="1:18" ht="21.75" customHeight="1" x14ac:dyDescent="0.3">
      <c r="A18" s="1" t="str">
        <f>Setup!B25</f>
        <v>Ahtisham</v>
      </c>
      <c r="B18" s="40">
        <f>IF(Setup!B25&lt;&gt;"",Setup!C25,"")</f>
        <v>10000</v>
      </c>
      <c r="C18" s="41">
        <f>IF(Setup!B25&lt;&gt;"",$B3,"")</f>
        <v>216</v>
      </c>
      <c r="D18" s="42">
        <f>IF(Setup!B25&lt;&gt;"",Attendance_Jan!O39,"")</f>
        <v>162.9</v>
      </c>
      <c r="E18" s="41">
        <f>IF(Setup!B25&lt;&gt;"",Attendance_Jan!O40,"")</f>
        <v>0</v>
      </c>
      <c r="F18" s="43">
        <f>IFERROR(IF(Setup!B25&lt;&gt;"",B18/C18,""),"")</f>
        <v>46.296296296296298</v>
      </c>
      <c r="G18" s="42">
        <f>IF(Setup!B25&lt;&gt;"",MIN(D18,C18),"")</f>
        <v>162.9</v>
      </c>
      <c r="H18" s="42">
        <f>IF(Setup!B25&lt;&gt;"",MAX(D18-C18,0),"")</f>
        <v>0</v>
      </c>
      <c r="I18" s="16">
        <f>IF(Setup!B25&lt;&gt;"",F18*G18,"")</f>
        <v>7541.666666666667</v>
      </c>
      <c r="J18" s="16">
        <f>IF(Setup!B25&lt;&gt;"",F18*H18*$B4,"")</f>
        <v>0</v>
      </c>
      <c r="K18" s="16">
        <f>IF(Setup!B25&lt;&gt;"",IF(E18=0,$B5,0),"")</f>
        <v>0</v>
      </c>
      <c r="L18" s="44">
        <f>IF(Setup!B25&lt;&gt;"",I18+J18+K18,"")</f>
        <v>7541.666666666667</v>
      </c>
      <c r="M18" s="45">
        <f>IF(Setup!B25&lt;&gt;"",0,"")</f>
        <v>0</v>
      </c>
      <c r="N18" s="46">
        <v>0</v>
      </c>
      <c r="O18" s="46">
        <v>0</v>
      </c>
      <c r="P18" s="44">
        <f>IF(Setup!B25&lt;&gt;"",M18+N18-O18,"")</f>
        <v>0</v>
      </c>
      <c r="Q18" s="46">
        <v>0</v>
      </c>
      <c r="R18" s="47">
        <f>IF(Setup!B25&lt;&gt;"",L18-O18-Q18,"")</f>
        <v>7541.666666666667</v>
      </c>
    </row>
    <row r="19" spans="1:18" ht="21.75" customHeight="1" x14ac:dyDescent="0.3">
      <c r="A19" s="18" t="str">
        <f>Setup!B26</f>
        <v>Factory rent</v>
      </c>
      <c r="B19" s="48">
        <f>IF(Setup!B26&lt;&gt;"",Setup!C26,"")</f>
        <v>77000</v>
      </c>
      <c r="C19" s="49">
        <f>IF(Setup!B26&lt;&gt;"",$B3,"")</f>
        <v>216</v>
      </c>
      <c r="D19" s="50">
        <f>IF(Setup!B26&lt;&gt;"",Attendance_Jan!P39,"")</f>
        <v>216.5</v>
      </c>
      <c r="E19" s="49">
        <f>IF(Setup!B26&lt;&gt;"",Attendance_Jan!P40,"")</f>
        <v>0</v>
      </c>
      <c r="F19" s="51">
        <f>IFERROR(IF(Setup!B26&lt;&gt;"",B19/C19,""),"")</f>
        <v>356.48148148148147</v>
      </c>
      <c r="G19" s="50">
        <f>IF(Setup!B26&lt;&gt;"",MIN(D19,C19),"")</f>
        <v>216</v>
      </c>
      <c r="H19" s="50">
        <f>IF(Setup!B26&lt;&gt;"",MAX(D19-C19,0),"")</f>
        <v>0.5</v>
      </c>
      <c r="I19" s="19">
        <f>IF(Setup!B26&lt;&gt;"",F19*G19,"")</f>
        <v>77000</v>
      </c>
      <c r="J19" s="19">
        <f>IF(Setup!B26&lt;&gt;"",F19*H19*$B4,"")</f>
        <v>267.36111111111109</v>
      </c>
      <c r="K19" s="19">
        <f>IF(Setup!B26&lt;&gt;"",IF(E19=0,$B5,0),"")</f>
        <v>0</v>
      </c>
      <c r="L19" s="52">
        <f>IF(Setup!B26&lt;&gt;"",I19+J19+K19,"")</f>
        <v>77267.361111111109</v>
      </c>
      <c r="M19" s="53">
        <f>IF(Setup!B26&lt;&gt;"",0,"")</f>
        <v>0</v>
      </c>
      <c r="N19" s="46">
        <v>0</v>
      </c>
      <c r="O19" s="46">
        <v>0</v>
      </c>
      <c r="P19" s="52">
        <f>IF(Setup!B26&lt;&gt;"",M19+N19-O19,"")</f>
        <v>0</v>
      </c>
      <c r="Q19" s="46">
        <v>0</v>
      </c>
      <c r="R19" s="47">
        <f>IF(Setup!B26&lt;&gt;"",L19-O19-Q19,"")</f>
        <v>77267.361111111109</v>
      </c>
    </row>
    <row r="20" spans="1:18" ht="21.75" customHeight="1" x14ac:dyDescent="0.3">
      <c r="A20" s="1" t="str">
        <f>Setup!B27</f>
        <v>Internet bill</v>
      </c>
      <c r="B20" s="40">
        <f>IF(Setup!B27&lt;&gt;"",Setup!C27,"")</f>
        <v>2500</v>
      </c>
      <c r="C20" s="41">
        <f>IF(Setup!B27&lt;&gt;"",$B3,"")</f>
        <v>216</v>
      </c>
      <c r="D20" s="42">
        <f>IF(Setup!B27&lt;&gt;"",Attendance_Jan!Q39,"")</f>
        <v>0</v>
      </c>
      <c r="E20" s="41">
        <f>IF(Setup!B27&lt;&gt;"",Attendance_Jan!Q40,"")</f>
        <v>27</v>
      </c>
      <c r="F20" s="43">
        <f>IFERROR(IF(Setup!B27&lt;&gt;"",B20/C20,""),"")</f>
        <v>11.574074074074074</v>
      </c>
      <c r="G20" s="42">
        <f>IF(Setup!B27&lt;&gt;"",MIN(D20,C20),"")</f>
        <v>0</v>
      </c>
      <c r="H20" s="42">
        <f>IF(Setup!B27&lt;&gt;"",MAX(D20-C20,0),"")</f>
        <v>0</v>
      </c>
      <c r="I20" s="16">
        <f>IF(Setup!B27&lt;&gt;"",F20*G20,"")</f>
        <v>0</v>
      </c>
      <c r="J20" s="16">
        <f>IF(Setup!B27&lt;&gt;"",F20*H20*$B4,"")</f>
        <v>0</v>
      </c>
      <c r="K20" s="16">
        <f>IF(Setup!B27&lt;&gt;"",IF(E20=0,$B5,0),"")</f>
        <v>0</v>
      </c>
      <c r="L20" s="44">
        <f>IF(Setup!B27&lt;&gt;"",I20+J20+K20,"")</f>
        <v>0</v>
      </c>
      <c r="M20" s="45">
        <f>IF(Setup!B27&lt;&gt;"",0,"")</f>
        <v>0</v>
      </c>
      <c r="N20" s="46">
        <v>0</v>
      </c>
      <c r="O20" s="46">
        <v>0</v>
      </c>
      <c r="P20" s="44">
        <f>IF(Setup!B27&lt;&gt;"",M20+N20-O20,"")</f>
        <v>0</v>
      </c>
      <c r="Q20" s="46">
        <v>0</v>
      </c>
      <c r="R20" s="47">
        <f>IF(Setup!B27&lt;&gt;"",L20-O20-Q20,"")</f>
        <v>0</v>
      </c>
    </row>
    <row r="21" spans="1:18" ht="21.75" customHeight="1" x14ac:dyDescent="0.3">
      <c r="A21" s="18" t="str">
        <f>Setup!B28</f>
        <v>Saqab</v>
      </c>
      <c r="B21" s="48">
        <f>IF(Setup!B28&lt;&gt;"",Setup!C28,"")</f>
        <v>25000</v>
      </c>
      <c r="C21" s="49">
        <f>IF(Setup!B28&lt;&gt;"",$B3,"")</f>
        <v>216</v>
      </c>
      <c r="D21" s="50">
        <f>IF(Setup!B28&lt;&gt;"",Attendance_Jan!R39,"")</f>
        <v>0</v>
      </c>
      <c r="E21" s="49">
        <f>IF(Setup!B28&lt;&gt;"",Attendance_Jan!R40,"")</f>
        <v>27</v>
      </c>
      <c r="F21" s="51">
        <f>IFERROR(IF(Setup!B28&lt;&gt;"",B21/C21,""),"")</f>
        <v>115.74074074074075</v>
      </c>
      <c r="G21" s="50">
        <f>IF(Setup!B28&lt;&gt;"",MIN(D21,C21),"")</f>
        <v>0</v>
      </c>
      <c r="H21" s="50">
        <f>IF(Setup!B28&lt;&gt;"",MAX(D21-C21,0),"")</f>
        <v>0</v>
      </c>
      <c r="I21" s="19">
        <f>IF(Setup!B28&lt;&gt;"",F21*G21,"")</f>
        <v>0</v>
      </c>
      <c r="J21" s="19">
        <f>IF(Setup!B28&lt;&gt;"",F21*H21*$B4,"")</f>
        <v>0</v>
      </c>
      <c r="K21" s="19">
        <f>IF(Setup!B28&lt;&gt;"",IF(E21=0,$B5,0),"")</f>
        <v>0</v>
      </c>
      <c r="L21" s="52">
        <f>IF(Setup!B28&lt;&gt;"",I21+J21+K21,"")</f>
        <v>0</v>
      </c>
      <c r="M21" s="53">
        <f>IF(Setup!B28&lt;&gt;"",0,"")</f>
        <v>0</v>
      </c>
      <c r="N21" s="46">
        <v>0</v>
      </c>
      <c r="O21" s="46">
        <v>0</v>
      </c>
      <c r="P21" s="52">
        <f>IF(Setup!B28&lt;&gt;"",M21+N21-O21,"")</f>
        <v>0</v>
      </c>
      <c r="Q21" s="46">
        <v>0</v>
      </c>
      <c r="R21" s="47">
        <f>IF(Setup!B28&lt;&gt;"",L21-O21-Q21,"")</f>
        <v>0</v>
      </c>
    </row>
    <row r="22" spans="1:18" ht="21.75" customHeight="1" x14ac:dyDescent="0.3">
      <c r="A22" s="1">
        <f>Setup!B29</f>
        <v>0</v>
      </c>
      <c r="B22" s="40" t="str">
        <f>IF(Setup!B29&lt;&gt;"",Setup!C29,"")</f>
        <v/>
      </c>
      <c r="C22" s="41" t="str">
        <f>IF(Setup!B29&lt;&gt;"",$B3,"")</f>
        <v/>
      </c>
      <c r="D22" s="42" t="str">
        <f>IF(Setup!B29&lt;&gt;"",Attendance_Jan!S39,"")</f>
        <v/>
      </c>
      <c r="E22" s="41" t="str">
        <f>IF(Setup!B29&lt;&gt;"",Attendance_Jan!S40,"")</f>
        <v/>
      </c>
      <c r="F22" s="43" t="str">
        <f>IFERROR(IF(Setup!B29&lt;&gt;"",B22/C22,""),"")</f>
        <v/>
      </c>
      <c r="G22" s="42" t="str">
        <f>IF(Setup!B29&lt;&gt;"",MIN(D22,C22),"")</f>
        <v/>
      </c>
      <c r="H22" s="42" t="str">
        <f>IF(Setup!B29&lt;&gt;"",MAX(D22-C22,0),"")</f>
        <v/>
      </c>
      <c r="I22" s="16" t="str">
        <f>IF(Setup!B29&lt;&gt;"",F22*G22,"")</f>
        <v/>
      </c>
      <c r="J22" s="16" t="str">
        <f>IF(Setup!B29&lt;&gt;"",F22*H22*$B4,"")</f>
        <v/>
      </c>
      <c r="K22" s="16" t="str">
        <f>IF(Setup!B29&lt;&gt;"",IF(E22=0,$B5,0),"")</f>
        <v/>
      </c>
      <c r="L22" s="44" t="str">
        <f>IF(Setup!B29&lt;&gt;"",I22+J22+K22,"")</f>
        <v/>
      </c>
      <c r="M22" s="45" t="str">
        <f>IF(Setup!B29&lt;&gt;"",0,"")</f>
        <v/>
      </c>
      <c r="N22" s="46">
        <v>0</v>
      </c>
      <c r="O22" s="46">
        <v>0</v>
      </c>
      <c r="P22" s="44" t="str">
        <f>IF(Setup!B29&lt;&gt;"",M22+N22-O22,"")</f>
        <v/>
      </c>
      <c r="Q22" s="46">
        <v>0</v>
      </c>
      <c r="R22" s="47" t="str">
        <f>IF(Setup!B29&lt;&gt;"",L22-O22-Q22,"")</f>
        <v/>
      </c>
    </row>
    <row r="23" spans="1:18" ht="21.75" customHeight="1" x14ac:dyDescent="0.3">
      <c r="A23" s="18">
        <f>Setup!B30</f>
        <v>0</v>
      </c>
      <c r="B23" s="48" t="str">
        <f>IF(Setup!B30&lt;&gt;"",Setup!C30,"")</f>
        <v/>
      </c>
      <c r="C23" s="49" t="str">
        <f>IF(Setup!B30&lt;&gt;"",$B3,"")</f>
        <v/>
      </c>
      <c r="D23" s="50" t="str">
        <f>IF(Setup!B30&lt;&gt;"",Attendance_Jan!T39,"")</f>
        <v/>
      </c>
      <c r="E23" s="49" t="str">
        <f>IF(Setup!B30&lt;&gt;"",Attendance_Jan!T40,"")</f>
        <v/>
      </c>
      <c r="F23" s="51" t="str">
        <f>IFERROR(IF(Setup!B30&lt;&gt;"",B23/C23,""),"")</f>
        <v/>
      </c>
      <c r="G23" s="50" t="str">
        <f>IF(Setup!B30&lt;&gt;"",MIN(D23,C23),"")</f>
        <v/>
      </c>
      <c r="H23" s="50" t="str">
        <f>IF(Setup!B30&lt;&gt;"",MAX(D23-C23,0),"")</f>
        <v/>
      </c>
      <c r="I23" s="19" t="str">
        <f>IF(Setup!B30&lt;&gt;"",F23*G23,"")</f>
        <v/>
      </c>
      <c r="J23" s="19" t="str">
        <f>IF(Setup!B30&lt;&gt;"",F23*H23*$B4,"")</f>
        <v/>
      </c>
      <c r="K23" s="19" t="str">
        <f>IF(Setup!B30&lt;&gt;"",IF(E23=0,$B5,0),"")</f>
        <v/>
      </c>
      <c r="L23" s="52" t="str">
        <f>IF(Setup!B30&lt;&gt;"",I23+J23+K23,"")</f>
        <v/>
      </c>
      <c r="M23" s="53" t="str">
        <f>IF(Setup!B30&lt;&gt;"",0,"")</f>
        <v/>
      </c>
      <c r="N23" s="46">
        <v>0</v>
      </c>
      <c r="O23" s="46">
        <v>0</v>
      </c>
      <c r="P23" s="52" t="str">
        <f>IF(Setup!B30&lt;&gt;"",M23+N23-O23,"")</f>
        <v/>
      </c>
      <c r="Q23" s="46">
        <v>0</v>
      </c>
      <c r="R23" s="47" t="str">
        <f>IF(Setup!B30&lt;&gt;"",L23-O23-Q23,"")</f>
        <v/>
      </c>
    </row>
    <row r="24" spans="1:18" ht="21.75" customHeight="1" x14ac:dyDescent="0.3">
      <c r="A24" s="1">
        <f>Setup!B31</f>
        <v>0</v>
      </c>
      <c r="B24" s="40" t="str">
        <f>IF(Setup!B31&lt;&gt;"",Setup!C31,"")</f>
        <v/>
      </c>
      <c r="C24" s="41" t="str">
        <f>IF(Setup!B31&lt;&gt;"",$B3,"")</f>
        <v/>
      </c>
      <c r="D24" s="42" t="str">
        <f>IF(Setup!B31&lt;&gt;"",Attendance_Jan!U39,"")</f>
        <v/>
      </c>
      <c r="E24" s="41" t="str">
        <f>IF(Setup!B31&lt;&gt;"",Attendance_Jan!U40,"")</f>
        <v/>
      </c>
      <c r="F24" s="43" t="str">
        <f>IFERROR(IF(Setup!B31&lt;&gt;"",B24/C24,""),"")</f>
        <v/>
      </c>
      <c r="G24" s="42" t="str">
        <f>IF(Setup!B31&lt;&gt;"",MIN(D24,C24),"")</f>
        <v/>
      </c>
      <c r="H24" s="42" t="str">
        <f>IF(Setup!B31&lt;&gt;"",MAX(D24-C24,0),"")</f>
        <v/>
      </c>
      <c r="I24" s="16" t="str">
        <f>IF(Setup!B31&lt;&gt;"",F24*G24,"")</f>
        <v/>
      </c>
      <c r="J24" s="16" t="str">
        <f>IF(Setup!B31&lt;&gt;"",F24*H24*$B4,"")</f>
        <v/>
      </c>
      <c r="K24" s="16" t="str">
        <f>IF(Setup!B31&lt;&gt;"",IF(E24=0,$B5,0),"")</f>
        <v/>
      </c>
      <c r="L24" s="44" t="str">
        <f>IF(Setup!B31&lt;&gt;"",I24+J24+K24,"")</f>
        <v/>
      </c>
      <c r="M24" s="45" t="str">
        <f>IF(Setup!B31&lt;&gt;"",0,"")</f>
        <v/>
      </c>
      <c r="N24" s="46">
        <v>0</v>
      </c>
      <c r="O24" s="46">
        <v>0</v>
      </c>
      <c r="P24" s="44" t="str">
        <f>IF(Setup!B31&lt;&gt;"",M24+N24-O24,"")</f>
        <v/>
      </c>
      <c r="Q24" s="46">
        <v>0</v>
      </c>
      <c r="R24" s="47" t="str">
        <f>IF(Setup!B31&lt;&gt;"",L24-O24-Q24,"")</f>
        <v/>
      </c>
    </row>
    <row r="25" spans="1:18" ht="21.75" customHeight="1" x14ac:dyDescent="0.3">
      <c r="A25" s="18">
        <f>Setup!B32</f>
        <v>0</v>
      </c>
      <c r="B25" s="48" t="str">
        <f>IF(Setup!B32&lt;&gt;"",Setup!C32,"")</f>
        <v/>
      </c>
      <c r="C25" s="49" t="str">
        <f>IF(Setup!B32&lt;&gt;"",$B3,"")</f>
        <v/>
      </c>
      <c r="D25" s="50" t="str">
        <f>IF(Setup!B32&lt;&gt;"",Attendance_Jan!V39,"")</f>
        <v/>
      </c>
      <c r="E25" s="49" t="str">
        <f>IF(Setup!B32&lt;&gt;"",Attendance_Jan!V40,"")</f>
        <v/>
      </c>
      <c r="F25" s="51" t="str">
        <f>IFERROR(IF(Setup!B32&lt;&gt;"",B25/C25,""),"")</f>
        <v/>
      </c>
      <c r="G25" s="50" t="str">
        <f>IF(Setup!B32&lt;&gt;"",MIN(D25,C25),"")</f>
        <v/>
      </c>
      <c r="H25" s="50" t="str">
        <f>IF(Setup!B32&lt;&gt;"",MAX(D25-C25,0),"")</f>
        <v/>
      </c>
      <c r="I25" s="19" t="str">
        <f>IF(Setup!B32&lt;&gt;"",F25*G25,"")</f>
        <v/>
      </c>
      <c r="J25" s="19" t="str">
        <f>IF(Setup!B32&lt;&gt;"",F25*H25*$B4,"")</f>
        <v/>
      </c>
      <c r="K25" s="19" t="str">
        <f>IF(Setup!B32&lt;&gt;"",IF(E25=0,$B5,0),"")</f>
        <v/>
      </c>
      <c r="L25" s="52" t="str">
        <f>IF(Setup!B32&lt;&gt;"",I25+J25+K25,"")</f>
        <v/>
      </c>
      <c r="M25" s="53" t="str">
        <f>IF(Setup!B32&lt;&gt;"",0,"")</f>
        <v/>
      </c>
      <c r="N25" s="46">
        <v>0</v>
      </c>
      <c r="O25" s="46">
        <v>0</v>
      </c>
      <c r="P25" s="52" t="str">
        <f>IF(Setup!B32&lt;&gt;"",M25+N25-O25,"")</f>
        <v/>
      </c>
      <c r="Q25" s="46">
        <v>0</v>
      </c>
      <c r="R25" s="47" t="str">
        <f>IF(Setup!B32&lt;&gt;"",L25-O25-Q25,"")</f>
        <v/>
      </c>
    </row>
    <row r="26" spans="1:18" ht="21.75" customHeight="1" x14ac:dyDescent="0.3">
      <c r="A26" s="1">
        <f>Setup!B33</f>
        <v>0</v>
      </c>
      <c r="B26" s="40" t="str">
        <f>IF(Setup!B33&lt;&gt;"",Setup!C33,"")</f>
        <v/>
      </c>
      <c r="C26" s="41" t="str">
        <f>IF(Setup!B33&lt;&gt;"",$B3,"")</f>
        <v/>
      </c>
      <c r="D26" s="42" t="str">
        <f>IF(Setup!B33&lt;&gt;"",Attendance_Jan!W39,"")</f>
        <v/>
      </c>
      <c r="E26" s="41" t="str">
        <f>IF(Setup!B33&lt;&gt;"",Attendance_Jan!W40,"")</f>
        <v/>
      </c>
      <c r="F26" s="43" t="str">
        <f>IFERROR(IF(Setup!B33&lt;&gt;"",B26/C26,""),"")</f>
        <v/>
      </c>
      <c r="G26" s="42" t="str">
        <f>IF(Setup!B33&lt;&gt;"",MIN(D26,C26),"")</f>
        <v/>
      </c>
      <c r="H26" s="42" t="str">
        <f>IF(Setup!B33&lt;&gt;"",MAX(D26-C26,0),"")</f>
        <v/>
      </c>
      <c r="I26" s="16" t="str">
        <f>IF(Setup!B33&lt;&gt;"",F26*G26,"")</f>
        <v/>
      </c>
      <c r="J26" s="16" t="str">
        <f>IF(Setup!B33&lt;&gt;"",F26*H26*$B4,"")</f>
        <v/>
      </c>
      <c r="K26" s="16" t="str">
        <f>IF(Setup!B33&lt;&gt;"",IF(E26=0,$B5,0),"")</f>
        <v/>
      </c>
      <c r="L26" s="44" t="str">
        <f>IF(Setup!B33&lt;&gt;"",I26+J26+K26,"")</f>
        <v/>
      </c>
      <c r="M26" s="45" t="str">
        <f>IF(Setup!B33&lt;&gt;"",0,"")</f>
        <v/>
      </c>
      <c r="N26" s="46">
        <v>0</v>
      </c>
      <c r="O26" s="46">
        <v>0</v>
      </c>
      <c r="P26" s="44" t="str">
        <f>IF(Setup!B33&lt;&gt;"",M26+N26-O26,"")</f>
        <v/>
      </c>
      <c r="Q26" s="46">
        <v>0</v>
      </c>
      <c r="R26" s="47" t="str">
        <f>IF(Setup!B33&lt;&gt;"",L26-O26-Q26,"")</f>
        <v/>
      </c>
    </row>
    <row r="27" spans="1:18" ht="21.75" customHeight="1" x14ac:dyDescent="0.3">
      <c r="A27" s="18">
        <f>Setup!B34</f>
        <v>0</v>
      </c>
      <c r="B27" s="48" t="str">
        <f>IF(Setup!B34&lt;&gt;"",Setup!C34,"")</f>
        <v/>
      </c>
      <c r="C27" s="49" t="str">
        <f>IF(Setup!B34&lt;&gt;"",$B3,"")</f>
        <v/>
      </c>
      <c r="D27" s="50" t="str">
        <f>IF(Setup!B34&lt;&gt;"",Attendance_Jan!X39,"")</f>
        <v/>
      </c>
      <c r="E27" s="49" t="str">
        <f>IF(Setup!B34&lt;&gt;"",Attendance_Jan!X40,"")</f>
        <v/>
      </c>
      <c r="F27" s="51" t="str">
        <f>IFERROR(IF(Setup!B34&lt;&gt;"",B27/C27,""),"")</f>
        <v/>
      </c>
      <c r="G27" s="50" t="str">
        <f>IF(Setup!B34&lt;&gt;"",MIN(D27,C27),"")</f>
        <v/>
      </c>
      <c r="H27" s="50" t="str">
        <f>IF(Setup!B34&lt;&gt;"",MAX(D27-C27,0),"")</f>
        <v/>
      </c>
      <c r="I27" s="19" t="str">
        <f>IF(Setup!B34&lt;&gt;"",F27*G27,"")</f>
        <v/>
      </c>
      <c r="J27" s="19" t="str">
        <f>IF(Setup!B34&lt;&gt;"",F27*H27*$B4,"")</f>
        <v/>
      </c>
      <c r="K27" s="19" t="str">
        <f>IF(Setup!B34&lt;&gt;"",IF(E27=0,$B5,0),"")</f>
        <v/>
      </c>
      <c r="L27" s="52" t="str">
        <f>IF(Setup!B34&lt;&gt;"",I27+J27+K27,"")</f>
        <v/>
      </c>
      <c r="M27" s="53" t="str">
        <f>IF(Setup!B34&lt;&gt;"",0,"")</f>
        <v/>
      </c>
      <c r="N27" s="46">
        <v>0</v>
      </c>
      <c r="O27" s="46">
        <v>0</v>
      </c>
      <c r="P27" s="52" t="str">
        <f>IF(Setup!B34&lt;&gt;"",M27+N27-O27,"")</f>
        <v/>
      </c>
      <c r="Q27" s="46">
        <v>0</v>
      </c>
      <c r="R27" s="47" t="str">
        <f>IF(Setup!B34&lt;&gt;"",L27-O27-Q27,"")</f>
        <v/>
      </c>
    </row>
    <row r="28" spans="1:18" ht="21.75" customHeight="1" x14ac:dyDescent="0.3">
      <c r="A28" s="1">
        <f>Setup!B35</f>
        <v>0</v>
      </c>
      <c r="B28" s="40" t="str">
        <f>IF(Setup!B35&lt;&gt;"",Setup!C35,"")</f>
        <v/>
      </c>
      <c r="C28" s="41" t="str">
        <f>IF(Setup!B35&lt;&gt;"",$B3,"")</f>
        <v/>
      </c>
      <c r="D28" s="42" t="str">
        <f>IF(Setup!B35&lt;&gt;"",Attendance_Jan!Y39,"")</f>
        <v/>
      </c>
      <c r="E28" s="41" t="str">
        <f>IF(Setup!B35&lt;&gt;"",Attendance_Jan!Y40,"")</f>
        <v/>
      </c>
      <c r="F28" s="43" t="str">
        <f>IFERROR(IF(Setup!B35&lt;&gt;"",B28/C28,""),"")</f>
        <v/>
      </c>
      <c r="G28" s="42" t="str">
        <f>IF(Setup!B35&lt;&gt;"",MIN(D28,C28),"")</f>
        <v/>
      </c>
      <c r="H28" s="42" t="str">
        <f>IF(Setup!B35&lt;&gt;"",MAX(D28-C28,0),"")</f>
        <v/>
      </c>
      <c r="I28" s="16" t="str">
        <f>IF(Setup!B35&lt;&gt;"",F28*G28,"")</f>
        <v/>
      </c>
      <c r="J28" s="16" t="str">
        <f>IF(Setup!B35&lt;&gt;"",F28*H28*$B4,"")</f>
        <v/>
      </c>
      <c r="K28" s="16" t="str">
        <f>IF(Setup!B35&lt;&gt;"",IF(E28=0,$B5,0),"")</f>
        <v/>
      </c>
      <c r="L28" s="44" t="str">
        <f>IF(Setup!B35&lt;&gt;"",I28+J28+K28,"")</f>
        <v/>
      </c>
      <c r="M28" s="45" t="str">
        <f>IF(Setup!B35&lt;&gt;"",0,"")</f>
        <v/>
      </c>
      <c r="N28" s="46">
        <v>0</v>
      </c>
      <c r="O28" s="46">
        <v>0</v>
      </c>
      <c r="P28" s="44" t="str">
        <f>IF(Setup!B35&lt;&gt;"",M28+N28-O28,"")</f>
        <v/>
      </c>
      <c r="Q28" s="46">
        <v>0</v>
      </c>
      <c r="R28" s="47" t="str">
        <f>IF(Setup!B35&lt;&gt;"",L28-O28-Q28,"")</f>
        <v/>
      </c>
    </row>
    <row r="29" spans="1:18" ht="21.75" customHeight="1" x14ac:dyDescent="0.3">
      <c r="A29" s="18">
        <f>Setup!B36</f>
        <v>0</v>
      </c>
      <c r="B29" s="48" t="str">
        <f>IF(Setup!B36&lt;&gt;"",Setup!C36,"")</f>
        <v/>
      </c>
      <c r="C29" s="49" t="str">
        <f>IF(Setup!B36&lt;&gt;"",$B3,"")</f>
        <v/>
      </c>
      <c r="D29" s="50" t="str">
        <f>IF(Setup!B36&lt;&gt;"",Attendance_Jan!Z39,"")</f>
        <v/>
      </c>
      <c r="E29" s="49" t="str">
        <f>IF(Setup!B36&lt;&gt;"",Attendance_Jan!Z40,"")</f>
        <v/>
      </c>
      <c r="F29" s="51" t="str">
        <f>IFERROR(IF(Setup!B36&lt;&gt;"",B29/C29,""),"")</f>
        <v/>
      </c>
      <c r="G29" s="50" t="str">
        <f>IF(Setup!B36&lt;&gt;"",MIN(D29,C29),"")</f>
        <v/>
      </c>
      <c r="H29" s="50" t="str">
        <f>IF(Setup!B36&lt;&gt;"",MAX(D29-C29,0),"")</f>
        <v/>
      </c>
      <c r="I29" s="19" t="str">
        <f>IF(Setup!B36&lt;&gt;"",F29*G29,"")</f>
        <v/>
      </c>
      <c r="J29" s="19" t="str">
        <f>IF(Setup!B36&lt;&gt;"",F29*H29*$B4,"")</f>
        <v/>
      </c>
      <c r="K29" s="19" t="str">
        <f>IF(Setup!B36&lt;&gt;"",IF(E29=0,$B5,0),"")</f>
        <v/>
      </c>
      <c r="L29" s="52" t="str">
        <f>IF(Setup!B36&lt;&gt;"",I29+J29+K29,"")</f>
        <v/>
      </c>
      <c r="M29" s="53" t="str">
        <f>IF(Setup!B36&lt;&gt;"",0,"")</f>
        <v/>
      </c>
      <c r="N29" s="46">
        <v>0</v>
      </c>
      <c r="O29" s="46">
        <v>0</v>
      </c>
      <c r="P29" s="52" t="str">
        <f>IF(Setup!B36&lt;&gt;"",M29+N29-O29,"")</f>
        <v/>
      </c>
      <c r="Q29" s="46">
        <v>0</v>
      </c>
      <c r="R29" s="47" t="str">
        <f>IF(Setup!B36&lt;&gt;"",L29-O29-Q29,"")</f>
        <v/>
      </c>
    </row>
    <row r="30" spans="1:18" ht="21.75" customHeight="1" x14ac:dyDescent="0.3">
      <c r="A30" s="1">
        <f>Setup!B37</f>
        <v>0</v>
      </c>
      <c r="B30" s="40" t="str">
        <f>IF(Setup!B37&lt;&gt;"",Setup!C37,"")</f>
        <v/>
      </c>
      <c r="C30" s="41" t="str">
        <f>IF(Setup!B37&lt;&gt;"",$B3,"")</f>
        <v/>
      </c>
      <c r="D30" s="42" t="str">
        <f>IF(Setup!B37&lt;&gt;"",Attendance_Jan!AA39,"")</f>
        <v/>
      </c>
      <c r="E30" s="41" t="str">
        <f>IF(Setup!B37&lt;&gt;"",Attendance_Jan!AA40,"")</f>
        <v/>
      </c>
      <c r="F30" s="43" t="str">
        <f>IFERROR(IF(Setup!B37&lt;&gt;"",B30/C30,""),"")</f>
        <v/>
      </c>
      <c r="G30" s="42" t="str">
        <f>IF(Setup!B37&lt;&gt;"",MIN(D30,C30),"")</f>
        <v/>
      </c>
      <c r="H30" s="42" t="str">
        <f>IF(Setup!B37&lt;&gt;"",MAX(D30-C30,0),"")</f>
        <v/>
      </c>
      <c r="I30" s="16" t="str">
        <f>IF(Setup!B37&lt;&gt;"",F30*G30,"")</f>
        <v/>
      </c>
      <c r="J30" s="16" t="str">
        <f>IF(Setup!B37&lt;&gt;"",F30*H30*$B4,"")</f>
        <v/>
      </c>
      <c r="K30" s="16" t="str">
        <f>IF(Setup!B37&lt;&gt;"",IF(E30=0,$B5,0),"")</f>
        <v/>
      </c>
      <c r="L30" s="44" t="str">
        <f>IF(Setup!B37&lt;&gt;"",I30+J30+K30,"")</f>
        <v/>
      </c>
      <c r="M30" s="45" t="str">
        <f>IF(Setup!B37&lt;&gt;"",0,"")</f>
        <v/>
      </c>
      <c r="N30" s="46">
        <v>0</v>
      </c>
      <c r="O30" s="46">
        <v>0</v>
      </c>
      <c r="P30" s="44" t="str">
        <f>IF(Setup!B37&lt;&gt;"",M30+N30-O30,"")</f>
        <v/>
      </c>
      <c r="Q30" s="46">
        <v>0</v>
      </c>
      <c r="R30" s="47" t="str">
        <f>IF(Setup!B37&lt;&gt;"",L30-O30-Q30,"")</f>
        <v/>
      </c>
    </row>
    <row r="31" spans="1:18" ht="21.75" customHeight="1" x14ac:dyDescent="0.3">
      <c r="A31" s="18">
        <f>Setup!B38</f>
        <v>0</v>
      </c>
      <c r="B31" s="48" t="str">
        <f>IF(Setup!B38&lt;&gt;"",Setup!C38,"")</f>
        <v/>
      </c>
      <c r="C31" s="49" t="str">
        <f>IF(Setup!B38&lt;&gt;"",$B3,"")</f>
        <v/>
      </c>
      <c r="D31" s="50" t="str">
        <f>IF(Setup!B38&lt;&gt;"",Attendance_Jan!AB39,"")</f>
        <v/>
      </c>
      <c r="E31" s="49" t="str">
        <f>IF(Setup!B38&lt;&gt;"",Attendance_Jan!AB40,"")</f>
        <v/>
      </c>
      <c r="F31" s="51" t="str">
        <f>IFERROR(IF(Setup!B38&lt;&gt;"",B31/C31,""),"")</f>
        <v/>
      </c>
      <c r="G31" s="50" t="str">
        <f>IF(Setup!B38&lt;&gt;"",MIN(D31,C31),"")</f>
        <v/>
      </c>
      <c r="H31" s="50" t="str">
        <f>IF(Setup!B38&lt;&gt;"",MAX(D31-C31,0),"")</f>
        <v/>
      </c>
      <c r="I31" s="19" t="str">
        <f>IF(Setup!B38&lt;&gt;"",F31*G31,"")</f>
        <v/>
      </c>
      <c r="J31" s="19" t="str">
        <f>IF(Setup!B38&lt;&gt;"",F31*H31*$B4,"")</f>
        <v/>
      </c>
      <c r="K31" s="19" t="str">
        <f>IF(Setup!B38&lt;&gt;"",IF(E31=0,$B5,0),"")</f>
        <v/>
      </c>
      <c r="L31" s="52" t="str">
        <f>IF(Setup!B38&lt;&gt;"",I31+J31+K31,"")</f>
        <v/>
      </c>
      <c r="M31" s="53" t="str">
        <f>IF(Setup!B38&lt;&gt;"",0,"")</f>
        <v/>
      </c>
      <c r="N31" s="46">
        <v>0</v>
      </c>
      <c r="O31" s="46">
        <v>0</v>
      </c>
      <c r="P31" s="52" t="str">
        <f>IF(Setup!B38&lt;&gt;"",M31+N31-O31,"")</f>
        <v/>
      </c>
      <c r="Q31" s="46">
        <v>0</v>
      </c>
      <c r="R31" s="47" t="str">
        <f>IF(Setup!B38&lt;&gt;"",L31-O31-Q31,"")</f>
        <v/>
      </c>
    </row>
    <row r="32" spans="1:18" ht="21.75" customHeight="1" x14ac:dyDescent="0.3">
      <c r="A32" s="1">
        <f>Setup!B39</f>
        <v>0</v>
      </c>
      <c r="B32" s="40" t="str">
        <f>IF(Setup!B39&lt;&gt;"",Setup!C39,"")</f>
        <v/>
      </c>
      <c r="C32" s="41" t="str">
        <f>IF(Setup!B39&lt;&gt;"",$B3,"")</f>
        <v/>
      </c>
      <c r="D32" s="42" t="str">
        <f>IF(Setup!B39&lt;&gt;"",Attendance_Jan!AC39,"")</f>
        <v/>
      </c>
      <c r="E32" s="41" t="str">
        <f>IF(Setup!B39&lt;&gt;"",Attendance_Jan!AC40,"")</f>
        <v/>
      </c>
      <c r="F32" s="43" t="str">
        <f>IFERROR(IF(Setup!B39&lt;&gt;"",B32/C32,""),"")</f>
        <v/>
      </c>
      <c r="G32" s="42" t="str">
        <f>IF(Setup!B39&lt;&gt;"",MIN(D32,C32),"")</f>
        <v/>
      </c>
      <c r="H32" s="42" t="str">
        <f>IF(Setup!B39&lt;&gt;"",MAX(D32-C32,0),"")</f>
        <v/>
      </c>
      <c r="I32" s="16" t="str">
        <f>IF(Setup!B39&lt;&gt;"",F32*G32,"")</f>
        <v/>
      </c>
      <c r="J32" s="16" t="str">
        <f>IF(Setup!B39&lt;&gt;"",F32*H32*$B4,"")</f>
        <v/>
      </c>
      <c r="K32" s="16" t="str">
        <f>IF(Setup!B39&lt;&gt;"",IF(E32=0,$B5,0),"")</f>
        <v/>
      </c>
      <c r="L32" s="44" t="str">
        <f>IF(Setup!B39&lt;&gt;"",I32+J32+K32,"")</f>
        <v/>
      </c>
      <c r="M32" s="45" t="str">
        <f>IF(Setup!B39&lt;&gt;"",0,"")</f>
        <v/>
      </c>
      <c r="N32" s="46">
        <v>0</v>
      </c>
      <c r="O32" s="46">
        <v>0</v>
      </c>
      <c r="P32" s="44" t="str">
        <f>IF(Setup!B39&lt;&gt;"",M32+N32-O32,"")</f>
        <v/>
      </c>
      <c r="Q32" s="46">
        <v>0</v>
      </c>
      <c r="R32" s="47" t="str">
        <f>IF(Setup!B39&lt;&gt;"",L32-O32-Q32,"")</f>
        <v/>
      </c>
    </row>
    <row r="33" spans="1:18" ht="21.75" customHeight="1" x14ac:dyDescent="0.3">
      <c r="A33" s="18">
        <f>Setup!B40</f>
        <v>0</v>
      </c>
      <c r="B33" s="48" t="str">
        <f>IF(Setup!B40&lt;&gt;"",Setup!C40,"")</f>
        <v/>
      </c>
      <c r="C33" s="49" t="str">
        <f>IF(Setup!B40&lt;&gt;"",$B3,"")</f>
        <v/>
      </c>
      <c r="D33" s="50" t="str">
        <f>IF(Setup!B40&lt;&gt;"",Attendance_Jan!AD39,"")</f>
        <v/>
      </c>
      <c r="E33" s="49" t="str">
        <f>IF(Setup!B40&lt;&gt;"",Attendance_Jan!AD40,"")</f>
        <v/>
      </c>
      <c r="F33" s="51" t="str">
        <f>IFERROR(IF(Setup!B40&lt;&gt;"",B33/C33,""),"")</f>
        <v/>
      </c>
      <c r="G33" s="50" t="str">
        <f>IF(Setup!B40&lt;&gt;"",MIN(D33,C33),"")</f>
        <v/>
      </c>
      <c r="H33" s="50" t="str">
        <f>IF(Setup!B40&lt;&gt;"",MAX(D33-C33,0),"")</f>
        <v/>
      </c>
      <c r="I33" s="19" t="str">
        <f>IF(Setup!B40&lt;&gt;"",F33*G33,"")</f>
        <v/>
      </c>
      <c r="J33" s="19" t="str">
        <f>IF(Setup!B40&lt;&gt;"",F33*H33*$B4,"")</f>
        <v/>
      </c>
      <c r="K33" s="19" t="str">
        <f>IF(Setup!B40&lt;&gt;"",IF(E33=0,$B5,0),"")</f>
        <v/>
      </c>
      <c r="L33" s="52" t="str">
        <f>IF(Setup!B40&lt;&gt;"",I33+J33+K33,"")</f>
        <v/>
      </c>
      <c r="M33" s="53" t="str">
        <f>IF(Setup!B40&lt;&gt;"",0,"")</f>
        <v/>
      </c>
      <c r="N33" s="46">
        <v>0</v>
      </c>
      <c r="O33" s="46">
        <v>0</v>
      </c>
      <c r="P33" s="52" t="str">
        <f>IF(Setup!B40&lt;&gt;"",M33+N33-O33,"")</f>
        <v/>
      </c>
      <c r="Q33" s="46">
        <v>0</v>
      </c>
      <c r="R33" s="47" t="str">
        <f>IF(Setup!B40&lt;&gt;"",L33-O33-Q33,"")</f>
        <v/>
      </c>
    </row>
    <row r="34" spans="1:18" ht="21.75" customHeight="1" x14ac:dyDescent="0.3">
      <c r="A34" s="1">
        <f>Setup!B41</f>
        <v>0</v>
      </c>
      <c r="B34" s="40" t="str">
        <f>IF(Setup!B41&lt;&gt;"",Setup!C41,"")</f>
        <v/>
      </c>
      <c r="C34" s="41" t="str">
        <f>IF(Setup!B41&lt;&gt;"",$B3,"")</f>
        <v/>
      </c>
      <c r="D34" s="42" t="str">
        <f>IF(Setup!B41&lt;&gt;"",Attendance_Jan!AE39,"")</f>
        <v/>
      </c>
      <c r="E34" s="41" t="str">
        <f>IF(Setup!B41&lt;&gt;"",Attendance_Jan!AE40,"")</f>
        <v/>
      </c>
      <c r="F34" s="43" t="str">
        <f>IFERROR(IF(Setup!B41&lt;&gt;"",B34/C34,""),"")</f>
        <v/>
      </c>
      <c r="G34" s="42" t="str">
        <f>IF(Setup!B41&lt;&gt;"",MIN(D34,C34),"")</f>
        <v/>
      </c>
      <c r="H34" s="42" t="str">
        <f>IF(Setup!B41&lt;&gt;"",MAX(D34-C34,0),"")</f>
        <v/>
      </c>
      <c r="I34" s="16" t="str">
        <f>IF(Setup!B41&lt;&gt;"",F34*G34,"")</f>
        <v/>
      </c>
      <c r="J34" s="16" t="str">
        <f>IF(Setup!B41&lt;&gt;"",F34*H34*$B4,"")</f>
        <v/>
      </c>
      <c r="K34" s="16" t="str">
        <f>IF(Setup!B41&lt;&gt;"",IF(E34=0,$B5,0),"")</f>
        <v/>
      </c>
      <c r="L34" s="44" t="str">
        <f>IF(Setup!B41&lt;&gt;"",I34+J34+K34,"")</f>
        <v/>
      </c>
      <c r="M34" s="45" t="str">
        <f>IF(Setup!B41&lt;&gt;"",0,"")</f>
        <v/>
      </c>
      <c r="N34" s="46">
        <v>0</v>
      </c>
      <c r="O34" s="46">
        <v>0</v>
      </c>
      <c r="P34" s="44" t="str">
        <f>IF(Setup!B41&lt;&gt;"",M34+N34-O34,"")</f>
        <v/>
      </c>
      <c r="Q34" s="46">
        <v>0</v>
      </c>
      <c r="R34" s="47" t="str">
        <f>IF(Setup!B41&lt;&gt;"",L34-O34-Q34,"")</f>
        <v/>
      </c>
    </row>
    <row r="35" spans="1:18" ht="21.75" customHeight="1" x14ac:dyDescent="0.3">
      <c r="A35" s="18">
        <f>Setup!B42</f>
        <v>0</v>
      </c>
      <c r="B35" s="48" t="str">
        <f>IF(Setup!B42&lt;&gt;"",Setup!C42,"")</f>
        <v/>
      </c>
      <c r="C35" s="49" t="str">
        <f>IF(Setup!B42&lt;&gt;"",$B3,"")</f>
        <v/>
      </c>
      <c r="D35" s="50" t="str">
        <f>IF(Setup!B42&lt;&gt;"",Attendance_Jan!AF39,"")</f>
        <v/>
      </c>
      <c r="E35" s="49" t="str">
        <f>IF(Setup!B42&lt;&gt;"",Attendance_Jan!AF40,"")</f>
        <v/>
      </c>
      <c r="F35" s="51" t="str">
        <f>IFERROR(IF(Setup!B42&lt;&gt;"",B35/C35,""),"")</f>
        <v/>
      </c>
      <c r="G35" s="50" t="str">
        <f>IF(Setup!B42&lt;&gt;"",MIN(D35,C35),"")</f>
        <v/>
      </c>
      <c r="H35" s="50" t="str">
        <f>IF(Setup!B42&lt;&gt;"",MAX(D35-C35,0),"")</f>
        <v/>
      </c>
      <c r="I35" s="19" t="str">
        <f>IF(Setup!B42&lt;&gt;"",F35*G35,"")</f>
        <v/>
      </c>
      <c r="J35" s="19" t="str">
        <f>IF(Setup!B42&lt;&gt;"",F35*H35*$B4,"")</f>
        <v/>
      </c>
      <c r="K35" s="19" t="str">
        <f>IF(Setup!B42&lt;&gt;"",IF(E35=0,$B5,0),"")</f>
        <v/>
      </c>
      <c r="L35" s="52" t="str">
        <f>IF(Setup!B42&lt;&gt;"",I35+J35+K35,"")</f>
        <v/>
      </c>
      <c r="M35" s="53" t="str">
        <f>IF(Setup!B42&lt;&gt;"",0,"")</f>
        <v/>
      </c>
      <c r="N35" s="46">
        <v>0</v>
      </c>
      <c r="O35" s="46">
        <v>0</v>
      </c>
      <c r="P35" s="52" t="str">
        <f>IF(Setup!B42&lt;&gt;"",M35+N35-O35,"")</f>
        <v/>
      </c>
      <c r="Q35" s="46">
        <v>0</v>
      </c>
      <c r="R35" s="47" t="str">
        <f>IF(Setup!B42&lt;&gt;"",L35-O35-Q35,"")</f>
        <v/>
      </c>
    </row>
    <row r="36" spans="1:18" ht="21.75" customHeight="1" x14ac:dyDescent="0.3">
      <c r="A36" s="1">
        <f>Setup!B43</f>
        <v>0</v>
      </c>
      <c r="B36" s="40" t="str">
        <f>IF(Setup!B43&lt;&gt;"",Setup!C43,"")</f>
        <v/>
      </c>
      <c r="C36" s="41" t="str">
        <f>IF(Setup!B43&lt;&gt;"",$B3,"")</f>
        <v/>
      </c>
      <c r="D36" s="42" t="str">
        <f>IF(Setup!B43&lt;&gt;"",Attendance_Jan!AG39,"")</f>
        <v/>
      </c>
      <c r="E36" s="41" t="str">
        <f>IF(Setup!B43&lt;&gt;"",Attendance_Jan!AG40,"")</f>
        <v/>
      </c>
      <c r="F36" s="43" t="str">
        <f>IFERROR(IF(Setup!B43&lt;&gt;"",B36/C36,""),"")</f>
        <v/>
      </c>
      <c r="G36" s="42" t="str">
        <f>IF(Setup!B43&lt;&gt;"",MIN(D36,C36),"")</f>
        <v/>
      </c>
      <c r="H36" s="42" t="str">
        <f>IF(Setup!B43&lt;&gt;"",MAX(D36-C36,0),"")</f>
        <v/>
      </c>
      <c r="I36" s="16" t="str">
        <f>IF(Setup!B43&lt;&gt;"",F36*G36,"")</f>
        <v/>
      </c>
      <c r="J36" s="16" t="str">
        <f>IF(Setup!B43&lt;&gt;"",F36*H36*$B4,"")</f>
        <v/>
      </c>
      <c r="K36" s="16" t="str">
        <f>IF(Setup!B43&lt;&gt;"",IF(E36=0,$B5,0),"")</f>
        <v/>
      </c>
      <c r="L36" s="44" t="str">
        <f>IF(Setup!B43&lt;&gt;"",I36+J36+K36,"")</f>
        <v/>
      </c>
      <c r="M36" s="45" t="str">
        <f>IF(Setup!B43&lt;&gt;"",0,"")</f>
        <v/>
      </c>
      <c r="N36" s="46">
        <v>0</v>
      </c>
      <c r="O36" s="46">
        <v>0</v>
      </c>
      <c r="P36" s="44" t="str">
        <f>IF(Setup!B43&lt;&gt;"",M36+N36-O36,"")</f>
        <v/>
      </c>
      <c r="Q36" s="46">
        <v>0</v>
      </c>
      <c r="R36" s="47" t="str">
        <f>IF(Setup!B43&lt;&gt;"",L36-O36-Q36,"")</f>
        <v/>
      </c>
    </row>
    <row r="37" spans="1:18" ht="21.75" customHeight="1" x14ac:dyDescent="0.3">
      <c r="A37" s="18">
        <f>Setup!B44</f>
        <v>0</v>
      </c>
      <c r="B37" s="48" t="str">
        <f>IF(Setup!B44&lt;&gt;"",Setup!C44,"")</f>
        <v/>
      </c>
      <c r="C37" s="49" t="str">
        <f>IF(Setup!B44&lt;&gt;"",$B3,"")</f>
        <v/>
      </c>
      <c r="D37" s="50" t="str">
        <f>IF(Setup!B44&lt;&gt;"",Attendance_Jan!AH39,"")</f>
        <v/>
      </c>
      <c r="E37" s="49" t="str">
        <f>IF(Setup!B44&lt;&gt;"",Attendance_Jan!AH40,"")</f>
        <v/>
      </c>
      <c r="F37" s="51" t="str">
        <f>IFERROR(IF(Setup!B44&lt;&gt;"",B37/C37,""),"")</f>
        <v/>
      </c>
      <c r="G37" s="50" t="str">
        <f>IF(Setup!B44&lt;&gt;"",MIN(D37,C37),"")</f>
        <v/>
      </c>
      <c r="H37" s="50" t="str">
        <f>IF(Setup!B44&lt;&gt;"",MAX(D37-C37,0),"")</f>
        <v/>
      </c>
      <c r="I37" s="19" t="str">
        <f>IF(Setup!B44&lt;&gt;"",F37*G37,"")</f>
        <v/>
      </c>
      <c r="J37" s="19" t="str">
        <f>IF(Setup!B44&lt;&gt;"",F37*H37*$B4,"")</f>
        <v/>
      </c>
      <c r="K37" s="19" t="str">
        <f>IF(Setup!B44&lt;&gt;"",IF(E37=0,$B5,0),"")</f>
        <v/>
      </c>
      <c r="L37" s="52" t="str">
        <f>IF(Setup!B44&lt;&gt;"",I37+J37+K37,"")</f>
        <v/>
      </c>
      <c r="M37" s="53" t="str">
        <f>IF(Setup!B44&lt;&gt;"",0,"")</f>
        <v/>
      </c>
      <c r="N37" s="46">
        <v>0</v>
      </c>
      <c r="O37" s="46">
        <v>0</v>
      </c>
      <c r="P37" s="52" t="str">
        <f>IF(Setup!B44&lt;&gt;"",M37+N37-O37,"")</f>
        <v/>
      </c>
      <c r="Q37" s="46">
        <v>0</v>
      </c>
      <c r="R37" s="47" t="str">
        <f>IF(Setup!B44&lt;&gt;"",L37-O37-Q37,"")</f>
        <v/>
      </c>
    </row>
    <row r="38" spans="1:18" ht="25.5" customHeight="1" x14ac:dyDescent="0.3">
      <c r="A38" s="55" t="s">
        <v>113</v>
      </c>
      <c r="B38" s="55"/>
      <c r="C38" s="17">
        <f>SUM(C8:C37)</f>
        <v>3024</v>
      </c>
      <c r="D38" s="36">
        <f>SUM(D8:D37)</f>
        <v>2292.6999999999998</v>
      </c>
      <c r="E38" s="17">
        <f>SUM(E8:E37)</f>
        <v>54</v>
      </c>
      <c r="F38" s="17"/>
      <c r="G38" s="36">
        <f t="shared" ref="G38:R38" si="0">SUM(G8:G37)</f>
        <v>2238.1999999999998</v>
      </c>
      <c r="H38" s="36">
        <f t="shared" si="0"/>
        <v>54.5</v>
      </c>
      <c r="I38" s="17">
        <f t="shared" si="0"/>
        <v>407455.55555555556</v>
      </c>
      <c r="J38" s="17">
        <f t="shared" si="0"/>
        <v>9642.3611111111113</v>
      </c>
      <c r="K38" s="17">
        <f t="shared" si="0"/>
        <v>0</v>
      </c>
      <c r="L38" s="17">
        <f t="shared" si="0"/>
        <v>417097.91666666669</v>
      </c>
      <c r="M38" s="17">
        <f t="shared" si="0"/>
        <v>0</v>
      </c>
      <c r="N38" s="17">
        <f t="shared" si="0"/>
        <v>0</v>
      </c>
      <c r="O38" s="17">
        <f t="shared" si="0"/>
        <v>0</v>
      </c>
      <c r="P38" s="17">
        <f t="shared" si="0"/>
        <v>0</v>
      </c>
      <c r="Q38" s="17">
        <f t="shared" si="0"/>
        <v>0</v>
      </c>
      <c r="R38" s="17">
        <f t="shared" si="0"/>
        <v>417097.91666666669</v>
      </c>
    </row>
    <row r="40" spans="1:18" ht="19.5" customHeight="1" x14ac:dyDescent="0.3">
      <c r="A40" s="56" t="s">
        <v>114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</sheetData>
  <mergeCells count="3">
    <mergeCell ref="A1:R1"/>
    <mergeCell ref="A38:B38"/>
    <mergeCell ref="A40:R40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6600"/>
  </sheetPr>
  <dimension ref="A1:R40"/>
  <sheetViews>
    <sheetView showGridLines="0" zoomScaleNormal="100" workbookViewId="0">
      <pane ySplit="7" topLeftCell="A8" activePane="bottomLeft" state="frozen"/>
      <selection pane="bottomLeft" activeCell="A12" sqref="A12:XFD12"/>
    </sheetView>
  </sheetViews>
  <sheetFormatPr defaultColWidth="8.5546875" defaultRowHeight="14.4" x14ac:dyDescent="0.3"/>
  <cols>
    <col min="1" max="1" width="22" customWidth="1"/>
    <col min="2" max="2" width="15" customWidth="1"/>
    <col min="3" max="4" width="11" customWidth="1"/>
    <col min="5" max="5" width="10" customWidth="1"/>
    <col min="6" max="7" width="12" customWidth="1"/>
    <col min="8" max="8" width="10" customWidth="1"/>
    <col min="9" max="9" width="14" customWidth="1"/>
    <col min="10" max="10" width="13" customWidth="1"/>
    <col min="11" max="11" width="16" customWidth="1"/>
    <col min="12" max="12" width="14" customWidth="1"/>
    <col min="13" max="16" width="12" customWidth="1"/>
    <col min="17" max="17" width="15" customWidth="1"/>
    <col min="18" max="18" width="14" customWidth="1"/>
  </cols>
  <sheetData>
    <row r="1" spans="1:18" ht="31.5" customHeight="1" x14ac:dyDescent="0.3">
      <c r="A1" s="54" t="s">
        <v>115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1" t="s">
        <v>93</v>
      </c>
      <c r="B2" s="10" t="s">
        <v>116</v>
      </c>
    </row>
    <row r="3" spans="1:18" ht="19.5" customHeight="1" x14ac:dyDescent="0.3">
      <c r="A3" s="1" t="s">
        <v>95</v>
      </c>
      <c r="B3" s="10">
        <v>192</v>
      </c>
    </row>
    <row r="4" spans="1:18" ht="19.5" customHeight="1" x14ac:dyDescent="0.3">
      <c r="A4" s="1" t="s">
        <v>14</v>
      </c>
      <c r="B4" s="38">
        <f>Setup!B9</f>
        <v>1.5</v>
      </c>
    </row>
    <row r="5" spans="1:18" ht="19.5" customHeight="1" x14ac:dyDescent="0.3">
      <c r="A5" s="1" t="s">
        <v>16</v>
      </c>
      <c r="B5" s="12">
        <f>Setup!B10</f>
        <v>0</v>
      </c>
    </row>
    <row r="7" spans="1:18" ht="36" customHeight="1" x14ac:dyDescent="0.3">
      <c r="A7" s="39" t="s">
        <v>37</v>
      </c>
      <c r="B7" s="39" t="s">
        <v>96</v>
      </c>
      <c r="C7" s="39" t="s">
        <v>97</v>
      </c>
      <c r="D7" s="39" t="s">
        <v>98</v>
      </c>
      <c r="E7" s="39" t="s">
        <v>99</v>
      </c>
      <c r="F7" s="39" t="s">
        <v>100</v>
      </c>
      <c r="G7" s="39" t="s">
        <v>101</v>
      </c>
      <c r="H7" s="39" t="s">
        <v>102</v>
      </c>
      <c r="I7" s="21" t="s">
        <v>103</v>
      </c>
      <c r="J7" s="21" t="s">
        <v>104</v>
      </c>
      <c r="K7" s="21" t="s">
        <v>105</v>
      </c>
      <c r="L7" s="21" t="s">
        <v>106</v>
      </c>
      <c r="M7" s="21" t="s">
        <v>107</v>
      </c>
      <c r="N7" s="21" t="s">
        <v>108</v>
      </c>
      <c r="O7" s="21" t="s">
        <v>109</v>
      </c>
      <c r="P7" s="21" t="s">
        <v>110</v>
      </c>
      <c r="Q7" s="21" t="s">
        <v>111</v>
      </c>
      <c r="R7" s="21" t="s">
        <v>112</v>
      </c>
    </row>
    <row r="8" spans="1:18" ht="21.75" customHeight="1" x14ac:dyDescent="0.3">
      <c r="A8" s="1" t="str">
        <f>Setup!B15</f>
        <v>Sheraz</v>
      </c>
      <c r="B8" s="40">
        <f>IF(Setup!B15&lt;&gt;"",Setup!C15,"")</f>
        <v>38000</v>
      </c>
      <c r="C8" s="41">
        <f>IF(Setup!B15&lt;&gt;"",$B3,"")</f>
        <v>192</v>
      </c>
      <c r="D8" s="42">
        <f>IF(Setup!B15&lt;&gt;"",Attendance_Feb!E36,"")</f>
        <v>169.5</v>
      </c>
      <c r="E8" s="41">
        <f>IF(Setup!B15&lt;&gt;"",Attendance_Feb!E37,"")</f>
        <v>0</v>
      </c>
      <c r="F8" s="43">
        <f>IFERROR(IF(Setup!B15&lt;&gt;"",B8/C8,""),"")</f>
        <v>197.91666666666666</v>
      </c>
      <c r="G8" s="42">
        <f>IF(Setup!B15&lt;&gt;"",MIN(D8,C8),"")</f>
        <v>169.5</v>
      </c>
      <c r="H8" s="42">
        <f>IF(Setup!B15&lt;&gt;"",MAX(D8-C8,0),"")</f>
        <v>0</v>
      </c>
      <c r="I8" s="16">
        <f>IF(Setup!B15&lt;&gt;"",F8*G8,"")</f>
        <v>33546.875</v>
      </c>
      <c r="J8" s="16">
        <f>IF(Setup!B15&lt;&gt;"",F8*H8*$B4,"")</f>
        <v>0</v>
      </c>
      <c r="K8" s="16">
        <f>IF(Setup!B15&lt;&gt;"",IF(E8=0,$B5,0),"")</f>
        <v>0</v>
      </c>
      <c r="L8" s="44">
        <f>IF(Setup!B15&lt;&gt;"",I8+J8+K8,"")</f>
        <v>33546.875</v>
      </c>
      <c r="M8" s="16">
        <f>IF(Setup!B15&lt;&gt;"",Payroll_Jan!P8,"")</f>
        <v>0</v>
      </c>
      <c r="N8" s="46">
        <v>20000</v>
      </c>
      <c r="O8" s="46">
        <v>20000</v>
      </c>
      <c r="P8" s="44">
        <f>IF(Setup!B15&lt;&gt;"",M8+N8-O8,"")</f>
        <v>0</v>
      </c>
      <c r="Q8" s="46">
        <v>0</v>
      </c>
      <c r="R8" s="47">
        <f>IF(Setup!B15&lt;&gt;"",L8-O8-Q8,"")</f>
        <v>13546.875</v>
      </c>
    </row>
    <row r="9" spans="1:18" ht="21.75" customHeight="1" x14ac:dyDescent="0.3">
      <c r="A9" s="18" t="str">
        <f>Setup!B16</f>
        <v>Zain</v>
      </c>
      <c r="B9" s="48">
        <f>IF(Setup!B16&lt;&gt;"",Setup!C16,"")</f>
        <v>53000</v>
      </c>
      <c r="C9" s="49">
        <f>IF(Setup!B16&lt;&gt;"",$B3,"")</f>
        <v>192</v>
      </c>
      <c r="D9" s="50">
        <f>IF(Setup!B16&lt;&gt;"",Attendance_Feb!F36,"")</f>
        <v>182</v>
      </c>
      <c r="E9" s="49">
        <f>IF(Setup!B16&lt;&gt;"",Attendance_Feb!F37,"")</f>
        <v>0</v>
      </c>
      <c r="F9" s="51">
        <f>IFERROR(IF(Setup!B16&lt;&gt;"",B9/C9,""),"")</f>
        <v>276.04166666666669</v>
      </c>
      <c r="G9" s="50">
        <f>IF(Setup!B16&lt;&gt;"",MIN(D9,C9),"")</f>
        <v>182</v>
      </c>
      <c r="H9" s="50">
        <f>IF(Setup!B16&lt;&gt;"",MAX(D9-C9,0),"")</f>
        <v>0</v>
      </c>
      <c r="I9" s="19">
        <f>IF(Setup!B16&lt;&gt;"",F9*G9,"")</f>
        <v>50239.583333333336</v>
      </c>
      <c r="J9" s="19">
        <f>IF(Setup!B16&lt;&gt;"",F9*H9*$B4,"")</f>
        <v>0</v>
      </c>
      <c r="K9" s="19">
        <f>IF(Setup!B16&lt;&gt;"",IF(E9=0,$B5,0),"")</f>
        <v>0</v>
      </c>
      <c r="L9" s="52">
        <f>IF(Setup!B16&lt;&gt;"",I9+J9+K9,"")</f>
        <v>50239.583333333336</v>
      </c>
      <c r="M9" s="19">
        <f>IF(Setup!B16&lt;&gt;"",Payroll_Jan!P9,"")</f>
        <v>0</v>
      </c>
      <c r="N9" s="46">
        <v>30000</v>
      </c>
      <c r="O9" s="46">
        <v>30000</v>
      </c>
      <c r="P9" s="52">
        <f>IF(Setup!B16&lt;&gt;"",M9+N9-O9,"")</f>
        <v>0</v>
      </c>
      <c r="Q9" s="46">
        <v>0</v>
      </c>
      <c r="R9" s="47">
        <f>IF(Setup!B16&lt;&gt;"",L9-O9-Q9,"")</f>
        <v>20239.583333333336</v>
      </c>
    </row>
    <row r="10" spans="1:18" ht="21.75" customHeight="1" x14ac:dyDescent="0.3">
      <c r="A10" s="1" t="str">
        <f>Setup!B17</f>
        <v>Yousaf</v>
      </c>
      <c r="B10" s="40">
        <f>IF(Setup!B17&lt;&gt;"",Setup!C17,"")</f>
        <v>28000</v>
      </c>
      <c r="C10" s="41">
        <f>IF(Setup!B17&lt;&gt;"",$B3,"")</f>
        <v>192</v>
      </c>
      <c r="D10" s="42">
        <f>IF(Setup!B17&lt;&gt;"",Attendance_Feb!G36,"")</f>
        <v>179</v>
      </c>
      <c r="E10" s="41">
        <f>IF(Setup!B17&lt;&gt;"",Attendance_Feb!G37,"")</f>
        <v>0</v>
      </c>
      <c r="F10" s="43">
        <f>IFERROR(IF(Setup!B17&lt;&gt;"",B10/C10,""),"")</f>
        <v>145.83333333333334</v>
      </c>
      <c r="G10" s="42">
        <f>IF(Setup!B17&lt;&gt;"",MIN(D10,C10),"")</f>
        <v>179</v>
      </c>
      <c r="H10" s="42">
        <f>IF(Setup!B17&lt;&gt;"",MAX(D10-C10,0),"")</f>
        <v>0</v>
      </c>
      <c r="I10" s="16">
        <f>IF(Setup!B17&lt;&gt;"",F10*G10,"")</f>
        <v>26104.166666666668</v>
      </c>
      <c r="J10" s="16">
        <f>IF(Setup!B17&lt;&gt;"",F10*H10*$B4,"")</f>
        <v>0</v>
      </c>
      <c r="K10" s="16">
        <f>IF(Setup!B17&lt;&gt;"",IF(E10=0,$B5,0),"")</f>
        <v>0</v>
      </c>
      <c r="L10" s="44">
        <f>IF(Setup!B17&lt;&gt;"",I10+J10+K10,"")</f>
        <v>26104.166666666668</v>
      </c>
      <c r="M10" s="16">
        <f>IF(Setup!B17&lt;&gt;"",Payroll_Jan!P10,"")</f>
        <v>0</v>
      </c>
      <c r="N10" s="46">
        <v>8000</v>
      </c>
      <c r="O10" s="46">
        <v>8000</v>
      </c>
      <c r="P10" s="44">
        <f>IF(Setup!B17&lt;&gt;"",M10+N10-O10,"")</f>
        <v>0</v>
      </c>
      <c r="Q10" s="46">
        <v>0</v>
      </c>
      <c r="R10" s="47">
        <f>IF(Setup!B17&lt;&gt;"",L10-O10-Q10,"")</f>
        <v>18104.166666666668</v>
      </c>
    </row>
    <row r="11" spans="1:18" ht="21.75" customHeight="1" x14ac:dyDescent="0.3">
      <c r="A11" s="18" t="str">
        <f>Setup!B18</f>
        <v>Hamza</v>
      </c>
      <c r="B11" s="48">
        <f>IF(Setup!B18&lt;&gt;"",Setup!C18,"")</f>
        <v>25000</v>
      </c>
      <c r="C11" s="49">
        <f>IF(Setup!B18&lt;&gt;"",$B3,"")</f>
        <v>192</v>
      </c>
      <c r="D11" s="50">
        <f>IF(Setup!B18&lt;&gt;"",Attendance_Feb!H36,"")</f>
        <v>168.1</v>
      </c>
      <c r="E11" s="49">
        <f>IF(Setup!B18&lt;&gt;"",Attendance_Feb!H37,"")</f>
        <v>0</v>
      </c>
      <c r="F11" s="51">
        <f>IFERROR(IF(Setup!B18&lt;&gt;"",B11/C11,""),"")</f>
        <v>130.20833333333334</v>
      </c>
      <c r="G11" s="50">
        <f>IF(Setup!B18&lt;&gt;"",MIN(D11,C11),"")</f>
        <v>168.1</v>
      </c>
      <c r="H11" s="50">
        <f>IF(Setup!B18&lt;&gt;"",MAX(D11-C11,0),"")</f>
        <v>0</v>
      </c>
      <c r="I11" s="19">
        <f>IF(Setup!B18&lt;&gt;"",F11*G11,"")</f>
        <v>21888.020833333336</v>
      </c>
      <c r="J11" s="19">
        <f>IF(Setup!B18&lt;&gt;"",F11*H11*$B4,"")</f>
        <v>0</v>
      </c>
      <c r="K11" s="19">
        <f>IF(Setup!B18&lt;&gt;"",IF(E11=0,$B5,0),"")</f>
        <v>0</v>
      </c>
      <c r="L11" s="52">
        <f>IF(Setup!B18&lt;&gt;"",I11+J11+K11,"")</f>
        <v>21888.020833333336</v>
      </c>
      <c r="M11" s="19">
        <f>IF(Setup!B18&lt;&gt;"",Payroll_Jan!P11,"")</f>
        <v>0</v>
      </c>
      <c r="N11" s="46">
        <v>29500</v>
      </c>
      <c r="O11" s="46">
        <v>19500</v>
      </c>
      <c r="P11" s="52">
        <f>IF(Setup!B18&lt;&gt;"",M11+N11-O11,"")</f>
        <v>10000</v>
      </c>
      <c r="Q11" s="46">
        <v>0</v>
      </c>
      <c r="R11" s="47">
        <f>IF(Setup!B18&lt;&gt;"",L11-O11-Q11,"")</f>
        <v>2388.0208333333358</v>
      </c>
    </row>
    <row r="12" spans="1:18" ht="21.75" customHeight="1" x14ac:dyDescent="0.3">
      <c r="A12" s="1" t="str">
        <f>Setup!B19</f>
        <v>Amjad</v>
      </c>
      <c r="B12" s="40">
        <f>IF(Setup!B19&lt;&gt;"",Setup!C19,"")</f>
        <v>25000</v>
      </c>
      <c r="C12" s="41">
        <f>IF(Setup!B19&lt;&gt;"",$B3,"")</f>
        <v>192</v>
      </c>
      <c r="D12" s="42">
        <f>IF(Setup!B19&lt;&gt;"",Attendance_Feb!I36,"")</f>
        <v>156.11000000000001</v>
      </c>
      <c r="E12" s="41">
        <f>IF(Setup!B19&lt;&gt;"",Attendance_Feb!I37,"")</f>
        <v>0</v>
      </c>
      <c r="F12" s="43">
        <f>IFERROR(IF(Setup!B19&lt;&gt;"",B12/C12,""),"")</f>
        <v>130.20833333333334</v>
      </c>
      <c r="G12" s="42">
        <f>IF(Setup!B19&lt;&gt;"",MIN(D12,C12),"")</f>
        <v>156.11000000000001</v>
      </c>
      <c r="H12" s="42">
        <f>IF(Setup!B19&lt;&gt;"",MAX(D12-C12,0),"")</f>
        <v>0</v>
      </c>
      <c r="I12" s="16">
        <f>IF(Setup!B19&lt;&gt;"",F12*G12,"")</f>
        <v>20326.822916666672</v>
      </c>
      <c r="J12" s="16">
        <f>IF(Setup!B19&lt;&gt;"",F12*H12*$B4,"")</f>
        <v>0</v>
      </c>
      <c r="K12" s="16">
        <f>IF(Setup!B19&lt;&gt;"",IF(E12=0,$B5,0),"")</f>
        <v>0</v>
      </c>
      <c r="L12" s="44">
        <f>IF(Setup!B19&lt;&gt;"",I12+J12+K12,"")</f>
        <v>20326.822916666672</v>
      </c>
      <c r="M12" s="16">
        <f>IF(Setup!B19&lt;&gt;"",Payroll_Jan!P12,"")</f>
        <v>0</v>
      </c>
      <c r="N12" s="46">
        <v>7000</v>
      </c>
      <c r="O12" s="46">
        <v>7000</v>
      </c>
      <c r="P12" s="44">
        <f>IF(Setup!B19&lt;&gt;"",M12+N12-O12,"")</f>
        <v>0</v>
      </c>
      <c r="Q12" s="46">
        <v>0</v>
      </c>
      <c r="R12" s="47">
        <f>IF(Setup!B19&lt;&gt;"",L12-O12-Q12,"")</f>
        <v>13326.822916666672</v>
      </c>
    </row>
    <row r="13" spans="1:18" ht="21.75" customHeight="1" x14ac:dyDescent="0.3">
      <c r="A13" s="18" t="str">
        <f>Setup!B20</f>
        <v>Tanveer</v>
      </c>
      <c r="B13" s="48">
        <f>IF(Setup!B20&lt;&gt;"",Setup!C20,"")</f>
        <v>25000</v>
      </c>
      <c r="C13" s="49">
        <f>IF(Setup!B20&lt;&gt;"",$B3,"")</f>
        <v>192</v>
      </c>
      <c r="D13" s="50">
        <f>IF(Setup!B20&lt;&gt;"",Attendance_Feb!J36,"")</f>
        <v>168</v>
      </c>
      <c r="E13" s="49">
        <f>IF(Setup!B20&lt;&gt;"",Attendance_Feb!J37,"")</f>
        <v>0</v>
      </c>
      <c r="F13" s="51">
        <f>IFERROR(IF(Setup!B20&lt;&gt;"",B13/C13,""),"")</f>
        <v>130.20833333333334</v>
      </c>
      <c r="G13" s="50">
        <f>IF(Setup!B20&lt;&gt;"",MIN(D13,C13),"")</f>
        <v>168</v>
      </c>
      <c r="H13" s="50">
        <f>IF(Setup!B20&lt;&gt;"",MAX(D13-C13,0),"")</f>
        <v>0</v>
      </c>
      <c r="I13" s="19">
        <f>IF(Setup!B20&lt;&gt;"",F13*G13,"")</f>
        <v>21875</v>
      </c>
      <c r="J13" s="19">
        <f>IF(Setup!B20&lt;&gt;"",F13*H13*$B4,"")</f>
        <v>0</v>
      </c>
      <c r="K13" s="19">
        <f>IF(Setup!B20&lt;&gt;"",IF(E13=0,$B5,0),"")</f>
        <v>0</v>
      </c>
      <c r="L13" s="52">
        <f>IF(Setup!B20&lt;&gt;"",I13+J13+K13,"")</f>
        <v>21875</v>
      </c>
      <c r="M13" s="19">
        <f>IF(Setup!B20&lt;&gt;"",Payroll_Jan!P13,"")</f>
        <v>0</v>
      </c>
      <c r="N13" s="46">
        <v>20000</v>
      </c>
      <c r="O13" s="46">
        <v>10000</v>
      </c>
      <c r="P13" s="52">
        <f>IF(Setup!B20&lt;&gt;"",M13+N13-O13,"")</f>
        <v>10000</v>
      </c>
      <c r="Q13" s="46">
        <v>0</v>
      </c>
      <c r="R13" s="47">
        <f>IF(Setup!B20&lt;&gt;"",L13-O13-Q13,"")</f>
        <v>11875</v>
      </c>
    </row>
    <row r="14" spans="1:18" ht="21.75" customHeight="1" x14ac:dyDescent="0.3">
      <c r="A14" s="1" t="str">
        <f>Setup!B21</f>
        <v>Ali Zaman</v>
      </c>
      <c r="B14" s="40">
        <f>IF(Setup!B21&lt;&gt;"",Setup!C21,"")</f>
        <v>75000</v>
      </c>
      <c r="C14" s="41">
        <f>IF(Setup!B21&lt;&gt;"",$B3,"")</f>
        <v>192</v>
      </c>
      <c r="D14" s="42">
        <f>IF(Setup!B21&lt;&gt;"",Attendance_Feb!K36,"")</f>
        <v>192</v>
      </c>
      <c r="E14" s="41">
        <f>IF(Setup!B21&lt;&gt;"",Attendance_Feb!K37,"")</f>
        <v>0</v>
      </c>
      <c r="F14" s="43">
        <f>IFERROR(IF(Setup!B21&lt;&gt;"",B14/C14,""),"")</f>
        <v>390.625</v>
      </c>
      <c r="G14" s="42">
        <f>IF(Setup!B21&lt;&gt;"",MIN(D14,C14),"")</f>
        <v>192</v>
      </c>
      <c r="H14" s="42">
        <f>IF(Setup!B21&lt;&gt;"",MAX(D14-C14,0),"")</f>
        <v>0</v>
      </c>
      <c r="I14" s="16">
        <f>IF(Setup!B21&lt;&gt;"",F14*G14,"")</f>
        <v>75000</v>
      </c>
      <c r="J14" s="16">
        <f>IF(Setup!B21&lt;&gt;"",F14*H14*$B4,"")</f>
        <v>0</v>
      </c>
      <c r="K14" s="16">
        <f>IF(Setup!B21&lt;&gt;"",IF(E14=0,$B5,0),"")</f>
        <v>0</v>
      </c>
      <c r="L14" s="44">
        <f>IF(Setup!B21&lt;&gt;"",I14+J14+K14,"")</f>
        <v>75000</v>
      </c>
      <c r="M14" s="16">
        <f>IF(Setup!B21&lt;&gt;"",Payroll_Jan!P14,"")</f>
        <v>0</v>
      </c>
      <c r="N14" s="46">
        <v>0</v>
      </c>
      <c r="O14" s="46">
        <v>0</v>
      </c>
      <c r="P14" s="44">
        <f>IF(Setup!B21&lt;&gt;"",M14+N14-O14,"")</f>
        <v>0</v>
      </c>
      <c r="Q14" s="46">
        <v>0</v>
      </c>
      <c r="R14" s="47">
        <f>IF(Setup!B21&lt;&gt;"",L14-O14-Q14,"")</f>
        <v>75000</v>
      </c>
    </row>
    <row r="15" spans="1:18" ht="21.75" customHeight="1" x14ac:dyDescent="0.3">
      <c r="A15" s="18" t="str">
        <f>Setup!B22</f>
        <v>Awais Ali</v>
      </c>
      <c r="B15" s="48">
        <f>IF(Setup!B22&lt;&gt;"",Setup!C22,"")</f>
        <v>25000</v>
      </c>
      <c r="C15" s="49">
        <f>IF(Setup!B22&lt;&gt;"",$B3,"")</f>
        <v>192</v>
      </c>
      <c r="D15" s="50">
        <f>IF(Setup!B22&lt;&gt;"",Attendance_Feb!L36,"")</f>
        <v>183.07999999999998</v>
      </c>
      <c r="E15" s="49">
        <f>IF(Setup!B22&lt;&gt;"",Attendance_Feb!L37,"")</f>
        <v>0</v>
      </c>
      <c r="F15" s="51">
        <f>IFERROR(IF(Setup!B22&lt;&gt;"",B15/C15,""),"")</f>
        <v>130.20833333333334</v>
      </c>
      <c r="G15" s="50">
        <f>IF(Setup!B22&lt;&gt;"",MIN(D15,C15),"")</f>
        <v>183.07999999999998</v>
      </c>
      <c r="H15" s="50">
        <f>IF(Setup!B22&lt;&gt;"",MAX(D15-C15,0),"")</f>
        <v>0</v>
      </c>
      <c r="I15" s="19">
        <f>IF(Setup!B22&lt;&gt;"",F15*G15,"")</f>
        <v>23838.541666666668</v>
      </c>
      <c r="J15" s="19">
        <f>IF(Setup!B22&lt;&gt;"",F15*H15*$B4,"")</f>
        <v>0</v>
      </c>
      <c r="K15" s="19">
        <f>IF(Setup!B22&lt;&gt;"",IF(E15=0,$B5,0),"")</f>
        <v>0</v>
      </c>
      <c r="L15" s="52">
        <f>IF(Setup!B22&lt;&gt;"",I15+J15+K15,"")</f>
        <v>23838.541666666668</v>
      </c>
      <c r="M15" s="19">
        <f>IF(Setup!B22&lt;&gt;"",Payroll_Jan!P15,"")</f>
        <v>0</v>
      </c>
      <c r="N15" s="46">
        <v>8000</v>
      </c>
      <c r="O15" s="46">
        <v>8000</v>
      </c>
      <c r="P15" s="52">
        <f>IF(Setup!B22&lt;&gt;"",M15+N15-O15,"")</f>
        <v>0</v>
      </c>
      <c r="Q15" s="46">
        <v>0</v>
      </c>
      <c r="R15" s="47">
        <f>IF(Setup!B22&lt;&gt;"",L15-O15-Q15,"")</f>
        <v>15838.541666666668</v>
      </c>
    </row>
    <row r="16" spans="1:18" ht="21.75" customHeight="1" x14ac:dyDescent="0.3">
      <c r="A16" s="1" t="str">
        <f>Setup!B23</f>
        <v>Ishtiaq</v>
      </c>
      <c r="B16" s="40">
        <f>IF(Setup!B23&lt;&gt;"",Setup!C23,"")</f>
        <v>25000</v>
      </c>
      <c r="C16" s="41">
        <f>IF(Setup!B23&lt;&gt;"",$B3,"")</f>
        <v>192</v>
      </c>
      <c r="D16" s="42">
        <f>IF(Setup!B23&lt;&gt;"",Attendance_Feb!M36,"")</f>
        <v>169.58</v>
      </c>
      <c r="E16" s="41">
        <f>IF(Setup!B23&lt;&gt;"",Attendance_Feb!M37,"")</f>
        <v>0</v>
      </c>
      <c r="F16" s="43">
        <f>IFERROR(IF(Setup!B23&lt;&gt;"",B16/C16,""),"")</f>
        <v>130.20833333333334</v>
      </c>
      <c r="G16" s="42">
        <f>IF(Setup!B23&lt;&gt;"",MIN(D16,C16),"")</f>
        <v>169.58</v>
      </c>
      <c r="H16" s="42">
        <f>IF(Setup!B23&lt;&gt;"",MAX(D16-C16,0),"")</f>
        <v>0</v>
      </c>
      <c r="I16" s="16">
        <f>IF(Setup!B23&lt;&gt;"",F16*G16,"")</f>
        <v>22080.729166666672</v>
      </c>
      <c r="J16" s="16">
        <f>IF(Setup!B23&lt;&gt;"",F16*H16*$B4,"")</f>
        <v>0</v>
      </c>
      <c r="K16" s="16">
        <f>IF(Setup!B23&lt;&gt;"",IF(E16=0,$B5,0),"")</f>
        <v>0</v>
      </c>
      <c r="L16" s="44">
        <f>IF(Setup!B23&lt;&gt;"",I16+J16+K16,"")</f>
        <v>22080.729166666672</v>
      </c>
      <c r="M16" s="16">
        <f>IF(Setup!B23&lt;&gt;"",Payroll_Jan!P16,"")</f>
        <v>0</v>
      </c>
      <c r="N16" s="46">
        <v>10000</v>
      </c>
      <c r="O16" s="46">
        <v>10000</v>
      </c>
      <c r="P16" s="44">
        <f>IF(Setup!B23&lt;&gt;"",M16+N16-O16,"")</f>
        <v>0</v>
      </c>
      <c r="Q16" s="46">
        <v>0</v>
      </c>
      <c r="R16" s="47">
        <f>IF(Setup!B23&lt;&gt;"",L16-O16-Q16,"")</f>
        <v>12080.729166666672</v>
      </c>
    </row>
    <row r="17" spans="1:18" ht="21.75" customHeight="1" x14ac:dyDescent="0.3">
      <c r="A17" s="18" t="str">
        <f>Setup!B24</f>
        <v>Usama bhai</v>
      </c>
      <c r="B17" s="48">
        <f>IF(Setup!B24&lt;&gt;"",Setup!C24,"")</f>
        <v>50000</v>
      </c>
      <c r="C17" s="49">
        <f>IF(Setup!B24&lt;&gt;"",$B3,"")</f>
        <v>192</v>
      </c>
      <c r="D17" s="50">
        <f>IF(Setup!B24&lt;&gt;"",Attendance_Feb!N36,"")</f>
        <v>192</v>
      </c>
      <c r="E17" s="49">
        <f>IF(Setup!B24&lt;&gt;"",Attendance_Feb!N37,"")</f>
        <v>0</v>
      </c>
      <c r="F17" s="51">
        <f>IFERROR(IF(Setup!B24&lt;&gt;"",B17/C17,""),"")</f>
        <v>260.41666666666669</v>
      </c>
      <c r="G17" s="50">
        <f>IF(Setup!B24&lt;&gt;"",MIN(D17,C17),"")</f>
        <v>192</v>
      </c>
      <c r="H17" s="50">
        <f>IF(Setup!B24&lt;&gt;"",MAX(D17-C17,0),"")</f>
        <v>0</v>
      </c>
      <c r="I17" s="19">
        <f>IF(Setup!B24&lt;&gt;"",F17*G17,"")</f>
        <v>50000</v>
      </c>
      <c r="J17" s="19">
        <f>IF(Setup!B24&lt;&gt;"",F17*H17*$B4,"")</f>
        <v>0</v>
      </c>
      <c r="K17" s="19">
        <f>IF(Setup!B24&lt;&gt;"",IF(E17=0,$B5,0),"")</f>
        <v>0</v>
      </c>
      <c r="L17" s="52">
        <f>IF(Setup!B24&lt;&gt;"",I17+J17+K17,"")</f>
        <v>50000</v>
      </c>
      <c r="M17" s="19">
        <f>IF(Setup!B24&lt;&gt;"",Payroll_Jan!P17,"")</f>
        <v>0</v>
      </c>
      <c r="N17" s="46">
        <v>0</v>
      </c>
      <c r="O17" s="46">
        <v>0</v>
      </c>
      <c r="P17" s="52">
        <f>IF(Setup!B24&lt;&gt;"",M17+N17-O17,"")</f>
        <v>0</v>
      </c>
      <c r="Q17" s="46">
        <v>0</v>
      </c>
      <c r="R17" s="47">
        <f>IF(Setup!B24&lt;&gt;"",L17-O17-Q17,"")</f>
        <v>50000</v>
      </c>
    </row>
    <row r="18" spans="1:18" ht="21.75" customHeight="1" x14ac:dyDescent="0.3">
      <c r="A18" s="1" t="str">
        <f>Setup!B25</f>
        <v>Ahtisham</v>
      </c>
      <c r="B18" s="40">
        <f>IF(Setup!B25&lt;&gt;"",Setup!C25,"")</f>
        <v>10000</v>
      </c>
      <c r="C18" s="41">
        <f>IF(Setup!B25&lt;&gt;"",$B3,"")</f>
        <v>192</v>
      </c>
      <c r="D18" s="42">
        <f>IF(Setup!B25&lt;&gt;"",Attendance_Feb!O36,"")</f>
        <v>192</v>
      </c>
      <c r="E18" s="41">
        <f>IF(Setup!B25&lt;&gt;"",Attendance_Feb!O37,"")</f>
        <v>0</v>
      </c>
      <c r="F18" s="43">
        <f>IFERROR(IF(Setup!B25&lt;&gt;"",B18/C18,""),"")</f>
        <v>52.083333333333336</v>
      </c>
      <c r="G18" s="42">
        <f>IF(Setup!B25&lt;&gt;"",MIN(D18,C18),"")</f>
        <v>192</v>
      </c>
      <c r="H18" s="42">
        <f>IF(Setup!B25&lt;&gt;"",MAX(D18-C18,0),"")</f>
        <v>0</v>
      </c>
      <c r="I18" s="16">
        <f>IF(Setup!B25&lt;&gt;"",F18*G18,"")</f>
        <v>10000</v>
      </c>
      <c r="J18" s="16">
        <f>IF(Setup!B25&lt;&gt;"",F18*H18*$B4,"")</f>
        <v>0</v>
      </c>
      <c r="K18" s="16">
        <f>IF(Setup!B25&lt;&gt;"",IF(E18=0,$B5,0),"")</f>
        <v>0</v>
      </c>
      <c r="L18" s="44">
        <f>IF(Setup!B25&lt;&gt;"",I18+J18+K18,"")</f>
        <v>10000</v>
      </c>
      <c r="M18" s="16">
        <f>IF(Setup!B25&lt;&gt;"",Payroll_Jan!P18,"")</f>
        <v>0</v>
      </c>
      <c r="N18" s="46">
        <v>0</v>
      </c>
      <c r="O18" s="46">
        <v>0</v>
      </c>
      <c r="P18" s="44">
        <f>IF(Setup!B25&lt;&gt;"",M18+N18-O18,"")</f>
        <v>0</v>
      </c>
      <c r="Q18" s="46">
        <v>0</v>
      </c>
      <c r="R18" s="47">
        <f>IF(Setup!B25&lt;&gt;"",L18-O18-Q18,"")</f>
        <v>10000</v>
      </c>
    </row>
    <row r="19" spans="1:18" ht="21.75" customHeight="1" x14ac:dyDescent="0.3">
      <c r="A19" s="18" t="str">
        <f>Setup!B26</f>
        <v>Factory rent</v>
      </c>
      <c r="B19" s="48">
        <f>IF(Setup!B26&lt;&gt;"",Setup!C26,"")</f>
        <v>77000</v>
      </c>
      <c r="C19" s="49">
        <f>IF(Setup!B26&lt;&gt;"",$B3,"")</f>
        <v>192</v>
      </c>
      <c r="D19" s="50">
        <f>IF(Setup!B26&lt;&gt;"",Attendance_Feb!P36,"")</f>
        <v>192</v>
      </c>
      <c r="E19" s="49">
        <f>IF(Setup!B26&lt;&gt;"",Attendance_Feb!P37,"")</f>
        <v>0</v>
      </c>
      <c r="F19" s="51">
        <f>IFERROR(IF(Setup!B26&lt;&gt;"",B19/C19,""),"")</f>
        <v>401.04166666666669</v>
      </c>
      <c r="G19" s="50">
        <f>IF(Setup!B26&lt;&gt;"",MIN(D19,C19),"")</f>
        <v>192</v>
      </c>
      <c r="H19" s="50">
        <f>IF(Setup!B26&lt;&gt;"",MAX(D19-C19,0),"")</f>
        <v>0</v>
      </c>
      <c r="I19" s="19">
        <f>IF(Setup!B26&lt;&gt;"",F19*G19,"")</f>
        <v>77000</v>
      </c>
      <c r="J19" s="19">
        <f>IF(Setup!B26&lt;&gt;"",F19*H19*$B4,"")</f>
        <v>0</v>
      </c>
      <c r="K19" s="19">
        <f>IF(Setup!B26&lt;&gt;"",IF(E19=0,$B5,0),"")</f>
        <v>0</v>
      </c>
      <c r="L19" s="52">
        <f>IF(Setup!B26&lt;&gt;"",I19+J19+K19,"")</f>
        <v>77000</v>
      </c>
      <c r="M19" s="19">
        <f>IF(Setup!B26&lt;&gt;"",Payroll_Jan!P19,"")</f>
        <v>0</v>
      </c>
      <c r="N19" s="46">
        <v>0</v>
      </c>
      <c r="O19" s="46">
        <v>0</v>
      </c>
      <c r="P19" s="52">
        <f>IF(Setup!B26&lt;&gt;"",M19+N19-O19,"")</f>
        <v>0</v>
      </c>
      <c r="Q19" s="46">
        <v>0</v>
      </c>
      <c r="R19" s="47">
        <f>IF(Setup!B26&lt;&gt;"",L19-O19-Q19,"")</f>
        <v>77000</v>
      </c>
    </row>
    <row r="20" spans="1:18" ht="21.75" customHeight="1" x14ac:dyDescent="0.3">
      <c r="A20" s="1" t="str">
        <f>Setup!B27</f>
        <v>Internet bill</v>
      </c>
      <c r="B20" s="40">
        <f>IF(Setup!B27&lt;&gt;"",Setup!C27,"")</f>
        <v>2500</v>
      </c>
      <c r="C20" s="41">
        <f>IF(Setup!B27&lt;&gt;"",$B3,"")</f>
        <v>192</v>
      </c>
      <c r="D20" s="42">
        <f>IF(Setup!B27&lt;&gt;"",Attendance_Feb!Q36,"")</f>
        <v>192</v>
      </c>
      <c r="E20" s="41">
        <f>IF(Setup!B27&lt;&gt;"",Attendance_Feb!Q37,"")</f>
        <v>0</v>
      </c>
      <c r="F20" s="43">
        <f>IFERROR(IF(Setup!B27&lt;&gt;"",B20/C20,""),"")</f>
        <v>13.020833333333334</v>
      </c>
      <c r="G20" s="42">
        <f>IF(Setup!B27&lt;&gt;"",MIN(D20,C20),"")</f>
        <v>192</v>
      </c>
      <c r="H20" s="42">
        <f>IF(Setup!B27&lt;&gt;"",MAX(D20-C20,0),"")</f>
        <v>0</v>
      </c>
      <c r="I20" s="16">
        <f>IF(Setup!B27&lt;&gt;"",F20*G20,"")</f>
        <v>2500</v>
      </c>
      <c r="J20" s="16">
        <f>IF(Setup!B27&lt;&gt;"",F20*H20*$B4,"")</f>
        <v>0</v>
      </c>
      <c r="K20" s="16">
        <f>IF(Setup!B27&lt;&gt;"",IF(E20=0,$B5,0),"")</f>
        <v>0</v>
      </c>
      <c r="L20" s="44">
        <f>IF(Setup!B27&lt;&gt;"",I20+J20+K20,"")</f>
        <v>2500</v>
      </c>
      <c r="M20" s="16">
        <f>IF(Setup!B27&lt;&gt;"",Payroll_Jan!P20,"")</f>
        <v>0</v>
      </c>
      <c r="N20" s="46">
        <v>0</v>
      </c>
      <c r="O20" s="46">
        <v>0</v>
      </c>
      <c r="P20" s="44">
        <f>IF(Setup!B27&lt;&gt;"",M20+N20-O20,"")</f>
        <v>0</v>
      </c>
      <c r="Q20" s="46">
        <v>0</v>
      </c>
      <c r="R20" s="47">
        <f>IF(Setup!B27&lt;&gt;"",L20-O20-Q20,"")</f>
        <v>2500</v>
      </c>
    </row>
    <row r="21" spans="1:18" ht="21.75" customHeight="1" x14ac:dyDescent="0.3">
      <c r="A21" s="18" t="str">
        <f>Setup!B28</f>
        <v>Saqab</v>
      </c>
      <c r="B21" s="48">
        <f>IF(Setup!B28&lt;&gt;"",Setup!C28,"")</f>
        <v>25000</v>
      </c>
      <c r="C21" s="49">
        <f>IF(Setup!B28&lt;&gt;"",$B3,"")</f>
        <v>192</v>
      </c>
      <c r="D21" s="50">
        <f>IF(Setup!B28&lt;&gt;"",Attendance_Feb!R36,"")</f>
        <v>0</v>
      </c>
      <c r="E21" s="49">
        <f>IF(Setup!B28&lt;&gt;"",Attendance_Feb!R37,"")</f>
        <v>0</v>
      </c>
      <c r="F21" s="51">
        <f>IFERROR(IF(Setup!B28&lt;&gt;"",B21/C21,""),"")</f>
        <v>130.20833333333334</v>
      </c>
      <c r="G21" s="50">
        <f>IF(Setup!B28&lt;&gt;"",MIN(D21,C21),"")</f>
        <v>0</v>
      </c>
      <c r="H21" s="50">
        <f>IF(Setup!B28&lt;&gt;"",MAX(D21-C21,0),"")</f>
        <v>0</v>
      </c>
      <c r="I21" s="19">
        <f>IF(Setup!B28&lt;&gt;"",F21*G21,"")</f>
        <v>0</v>
      </c>
      <c r="J21" s="19">
        <f>IF(Setup!B28&lt;&gt;"",F21*H21*$B4,"")</f>
        <v>0</v>
      </c>
      <c r="K21" s="19">
        <f>IF(Setup!B28&lt;&gt;"",IF(E21=0,$B5,0),"")</f>
        <v>0</v>
      </c>
      <c r="L21" s="52">
        <f>IF(Setup!B28&lt;&gt;"",I21+J21+K21,"")</f>
        <v>0</v>
      </c>
      <c r="M21" s="19">
        <f>IF(Setup!B28&lt;&gt;"",Payroll_Jan!P21,"")</f>
        <v>0</v>
      </c>
      <c r="N21" s="46">
        <v>0</v>
      </c>
      <c r="O21" s="46">
        <v>0</v>
      </c>
      <c r="P21" s="52">
        <f>IF(Setup!B28&lt;&gt;"",M21+N21-O21,"")</f>
        <v>0</v>
      </c>
      <c r="Q21" s="46">
        <v>0</v>
      </c>
      <c r="R21" s="47">
        <f>IF(Setup!B28&lt;&gt;"",L21-O21-Q21,"")</f>
        <v>0</v>
      </c>
    </row>
    <row r="22" spans="1:18" ht="21.75" customHeight="1" x14ac:dyDescent="0.3">
      <c r="A22" s="1">
        <f>Setup!B29</f>
        <v>0</v>
      </c>
      <c r="B22" s="40" t="str">
        <f>IF(Setup!B29&lt;&gt;"",Setup!C29,"")</f>
        <v/>
      </c>
      <c r="C22" s="41" t="str">
        <f>IF(Setup!B29&lt;&gt;"",$B3,"")</f>
        <v/>
      </c>
      <c r="D22" s="42" t="str">
        <f>IF(Setup!B29&lt;&gt;"",Attendance_Feb!S36,"")</f>
        <v/>
      </c>
      <c r="E22" s="41" t="str">
        <f>IF(Setup!B29&lt;&gt;"",Attendance_Feb!S37,"")</f>
        <v/>
      </c>
      <c r="F22" s="43" t="str">
        <f>IFERROR(IF(Setup!B29&lt;&gt;"",B22/C22,""),"")</f>
        <v/>
      </c>
      <c r="G22" s="42" t="str">
        <f>IF(Setup!B29&lt;&gt;"",MIN(D22,C22),"")</f>
        <v/>
      </c>
      <c r="H22" s="42" t="str">
        <f>IF(Setup!B29&lt;&gt;"",MAX(D22-C22,0),"")</f>
        <v/>
      </c>
      <c r="I22" s="16" t="str">
        <f>IF(Setup!B29&lt;&gt;"",F22*G22,"")</f>
        <v/>
      </c>
      <c r="J22" s="16" t="str">
        <f>IF(Setup!B29&lt;&gt;"",F22*H22*$B4,"")</f>
        <v/>
      </c>
      <c r="K22" s="16" t="str">
        <f>IF(Setup!B29&lt;&gt;"",IF(E22=0,$B5,0),"")</f>
        <v/>
      </c>
      <c r="L22" s="44" t="str">
        <f>IF(Setup!B29&lt;&gt;"",I22+J22+K22,"")</f>
        <v/>
      </c>
      <c r="M22" s="16" t="str">
        <f>IF(Setup!B29&lt;&gt;"",Payroll_Jan!P22,"")</f>
        <v/>
      </c>
      <c r="N22" s="46">
        <v>0</v>
      </c>
      <c r="O22" s="46">
        <v>0</v>
      </c>
      <c r="P22" s="44" t="str">
        <f>IF(Setup!B29&lt;&gt;"",M22+N22-O22,"")</f>
        <v/>
      </c>
      <c r="Q22" s="46">
        <v>0</v>
      </c>
      <c r="R22" s="47" t="str">
        <f>IF(Setup!B29&lt;&gt;"",L22-O22-Q22,"")</f>
        <v/>
      </c>
    </row>
    <row r="23" spans="1:18" ht="21.75" customHeight="1" x14ac:dyDescent="0.3">
      <c r="A23" s="18">
        <f>Setup!B30</f>
        <v>0</v>
      </c>
      <c r="B23" s="48" t="str">
        <f>IF(Setup!B30&lt;&gt;"",Setup!C30,"")</f>
        <v/>
      </c>
      <c r="C23" s="49" t="str">
        <f>IF(Setup!B30&lt;&gt;"",$B3,"")</f>
        <v/>
      </c>
      <c r="D23" s="50" t="str">
        <f>IF(Setup!B30&lt;&gt;"",Attendance_Feb!T36,"")</f>
        <v/>
      </c>
      <c r="E23" s="49" t="str">
        <f>IF(Setup!B30&lt;&gt;"",Attendance_Feb!T37,"")</f>
        <v/>
      </c>
      <c r="F23" s="51" t="str">
        <f>IFERROR(IF(Setup!B30&lt;&gt;"",B23/C23,""),"")</f>
        <v/>
      </c>
      <c r="G23" s="50" t="str">
        <f>IF(Setup!B30&lt;&gt;"",MIN(D23,C23),"")</f>
        <v/>
      </c>
      <c r="H23" s="50" t="str">
        <f>IF(Setup!B30&lt;&gt;"",MAX(D23-C23,0),"")</f>
        <v/>
      </c>
      <c r="I23" s="19" t="str">
        <f>IF(Setup!B30&lt;&gt;"",F23*G23,"")</f>
        <v/>
      </c>
      <c r="J23" s="19" t="str">
        <f>IF(Setup!B30&lt;&gt;"",F23*H23*$B4,"")</f>
        <v/>
      </c>
      <c r="K23" s="19" t="str">
        <f>IF(Setup!B30&lt;&gt;"",IF(E23=0,$B5,0),"")</f>
        <v/>
      </c>
      <c r="L23" s="52" t="str">
        <f>IF(Setup!B30&lt;&gt;"",I23+J23+K23,"")</f>
        <v/>
      </c>
      <c r="M23" s="19" t="str">
        <f>IF(Setup!B30&lt;&gt;"",Payroll_Jan!P23,"")</f>
        <v/>
      </c>
      <c r="N23" s="46">
        <v>0</v>
      </c>
      <c r="O23" s="46">
        <v>0</v>
      </c>
      <c r="P23" s="52" t="str">
        <f>IF(Setup!B30&lt;&gt;"",M23+N23-O23,"")</f>
        <v/>
      </c>
      <c r="Q23" s="46">
        <v>0</v>
      </c>
      <c r="R23" s="47" t="str">
        <f>IF(Setup!B30&lt;&gt;"",L23-O23-Q23,"")</f>
        <v/>
      </c>
    </row>
    <row r="24" spans="1:18" ht="21.75" customHeight="1" x14ac:dyDescent="0.3">
      <c r="A24" s="1">
        <f>Setup!B31</f>
        <v>0</v>
      </c>
      <c r="B24" s="40" t="str">
        <f>IF(Setup!B31&lt;&gt;"",Setup!C31,"")</f>
        <v/>
      </c>
      <c r="C24" s="41" t="str">
        <f>IF(Setup!B31&lt;&gt;"",$B3,"")</f>
        <v/>
      </c>
      <c r="D24" s="42" t="str">
        <f>IF(Setup!B31&lt;&gt;"",Attendance_Feb!U36,"")</f>
        <v/>
      </c>
      <c r="E24" s="41" t="str">
        <f>IF(Setup!B31&lt;&gt;"",Attendance_Feb!U37,"")</f>
        <v/>
      </c>
      <c r="F24" s="43" t="str">
        <f>IFERROR(IF(Setup!B31&lt;&gt;"",B24/C24,""),"")</f>
        <v/>
      </c>
      <c r="G24" s="42" t="str">
        <f>IF(Setup!B31&lt;&gt;"",MIN(D24,C24),"")</f>
        <v/>
      </c>
      <c r="H24" s="42" t="str">
        <f>IF(Setup!B31&lt;&gt;"",MAX(D24-C24,0),"")</f>
        <v/>
      </c>
      <c r="I24" s="16" t="str">
        <f>IF(Setup!B31&lt;&gt;"",F24*G24,"")</f>
        <v/>
      </c>
      <c r="J24" s="16" t="str">
        <f>IF(Setup!B31&lt;&gt;"",F24*H24*$B4,"")</f>
        <v/>
      </c>
      <c r="K24" s="16" t="str">
        <f>IF(Setup!B31&lt;&gt;"",IF(E24=0,$B5,0),"")</f>
        <v/>
      </c>
      <c r="L24" s="44" t="str">
        <f>IF(Setup!B31&lt;&gt;"",I24+J24+K24,"")</f>
        <v/>
      </c>
      <c r="M24" s="16" t="str">
        <f>IF(Setup!B31&lt;&gt;"",Payroll_Jan!P24,"")</f>
        <v/>
      </c>
      <c r="N24" s="46">
        <v>0</v>
      </c>
      <c r="O24" s="46">
        <v>0</v>
      </c>
      <c r="P24" s="44" t="str">
        <f>IF(Setup!B31&lt;&gt;"",M24+N24-O24,"")</f>
        <v/>
      </c>
      <c r="Q24" s="46">
        <v>0</v>
      </c>
      <c r="R24" s="47" t="str">
        <f>IF(Setup!B31&lt;&gt;"",L24-O24-Q24,"")</f>
        <v/>
      </c>
    </row>
    <row r="25" spans="1:18" ht="21.75" customHeight="1" x14ac:dyDescent="0.3">
      <c r="A25" s="18">
        <f>Setup!B32</f>
        <v>0</v>
      </c>
      <c r="B25" s="48" t="str">
        <f>IF(Setup!B32&lt;&gt;"",Setup!C32,"")</f>
        <v/>
      </c>
      <c r="C25" s="49" t="str">
        <f>IF(Setup!B32&lt;&gt;"",$B3,"")</f>
        <v/>
      </c>
      <c r="D25" s="50" t="str">
        <f>IF(Setup!B32&lt;&gt;"",Attendance_Feb!V36,"")</f>
        <v/>
      </c>
      <c r="E25" s="49" t="str">
        <f>IF(Setup!B32&lt;&gt;"",Attendance_Feb!V37,"")</f>
        <v/>
      </c>
      <c r="F25" s="51" t="str">
        <f>IFERROR(IF(Setup!B32&lt;&gt;"",B25/C25,""),"")</f>
        <v/>
      </c>
      <c r="G25" s="50" t="str">
        <f>IF(Setup!B32&lt;&gt;"",MIN(D25,C25),"")</f>
        <v/>
      </c>
      <c r="H25" s="50" t="str">
        <f>IF(Setup!B32&lt;&gt;"",MAX(D25-C25,0),"")</f>
        <v/>
      </c>
      <c r="I25" s="19" t="str">
        <f>IF(Setup!B32&lt;&gt;"",F25*G25,"")</f>
        <v/>
      </c>
      <c r="J25" s="19" t="str">
        <f>IF(Setup!B32&lt;&gt;"",F25*H25*$B4,"")</f>
        <v/>
      </c>
      <c r="K25" s="19" t="str">
        <f>IF(Setup!B32&lt;&gt;"",IF(E25=0,$B5,0),"")</f>
        <v/>
      </c>
      <c r="L25" s="52" t="str">
        <f>IF(Setup!B32&lt;&gt;"",I25+J25+K25,"")</f>
        <v/>
      </c>
      <c r="M25" s="19" t="str">
        <f>IF(Setup!B32&lt;&gt;"",Payroll_Jan!P25,"")</f>
        <v/>
      </c>
      <c r="N25" s="46">
        <v>0</v>
      </c>
      <c r="O25" s="46">
        <v>0</v>
      </c>
      <c r="P25" s="52" t="str">
        <f>IF(Setup!B32&lt;&gt;"",M25+N25-O25,"")</f>
        <v/>
      </c>
      <c r="Q25" s="46">
        <v>0</v>
      </c>
      <c r="R25" s="47" t="str">
        <f>IF(Setup!B32&lt;&gt;"",L25-O25-Q25,"")</f>
        <v/>
      </c>
    </row>
    <row r="26" spans="1:18" ht="21.75" customHeight="1" x14ac:dyDescent="0.3">
      <c r="A26" s="1">
        <f>Setup!B33</f>
        <v>0</v>
      </c>
      <c r="B26" s="40" t="str">
        <f>IF(Setup!B33&lt;&gt;"",Setup!C33,"")</f>
        <v/>
      </c>
      <c r="C26" s="41" t="str">
        <f>IF(Setup!B33&lt;&gt;"",$B3,"")</f>
        <v/>
      </c>
      <c r="D26" s="42" t="str">
        <f>IF(Setup!B33&lt;&gt;"",Attendance_Feb!W36,"")</f>
        <v/>
      </c>
      <c r="E26" s="41" t="str">
        <f>IF(Setup!B33&lt;&gt;"",Attendance_Feb!W37,"")</f>
        <v/>
      </c>
      <c r="F26" s="43" t="str">
        <f>IFERROR(IF(Setup!B33&lt;&gt;"",B26/C26,""),"")</f>
        <v/>
      </c>
      <c r="G26" s="42" t="str">
        <f>IF(Setup!B33&lt;&gt;"",MIN(D26,C26),"")</f>
        <v/>
      </c>
      <c r="H26" s="42" t="str">
        <f>IF(Setup!B33&lt;&gt;"",MAX(D26-C26,0),"")</f>
        <v/>
      </c>
      <c r="I26" s="16" t="str">
        <f>IF(Setup!B33&lt;&gt;"",F26*G26,"")</f>
        <v/>
      </c>
      <c r="J26" s="16" t="str">
        <f>IF(Setup!B33&lt;&gt;"",F26*H26*$B4,"")</f>
        <v/>
      </c>
      <c r="K26" s="16" t="str">
        <f>IF(Setup!B33&lt;&gt;"",IF(E26=0,$B5,0),"")</f>
        <v/>
      </c>
      <c r="L26" s="44" t="str">
        <f>IF(Setup!B33&lt;&gt;"",I26+J26+K26,"")</f>
        <v/>
      </c>
      <c r="M26" s="16" t="str">
        <f>IF(Setup!B33&lt;&gt;"",Payroll_Jan!P26,"")</f>
        <v/>
      </c>
      <c r="N26" s="46">
        <v>0</v>
      </c>
      <c r="O26" s="46">
        <v>0</v>
      </c>
      <c r="P26" s="44" t="str">
        <f>IF(Setup!B33&lt;&gt;"",M26+N26-O26,"")</f>
        <v/>
      </c>
      <c r="Q26" s="46">
        <v>0</v>
      </c>
      <c r="R26" s="47" t="str">
        <f>IF(Setup!B33&lt;&gt;"",L26-O26-Q26,"")</f>
        <v/>
      </c>
    </row>
    <row r="27" spans="1:18" ht="21.75" customHeight="1" x14ac:dyDescent="0.3">
      <c r="A27" s="18">
        <f>Setup!B34</f>
        <v>0</v>
      </c>
      <c r="B27" s="48" t="str">
        <f>IF(Setup!B34&lt;&gt;"",Setup!C34,"")</f>
        <v/>
      </c>
      <c r="C27" s="49" t="str">
        <f>IF(Setup!B34&lt;&gt;"",$B3,"")</f>
        <v/>
      </c>
      <c r="D27" s="50" t="str">
        <f>IF(Setup!B34&lt;&gt;"",Attendance_Feb!X36,"")</f>
        <v/>
      </c>
      <c r="E27" s="49" t="str">
        <f>IF(Setup!B34&lt;&gt;"",Attendance_Feb!X37,"")</f>
        <v/>
      </c>
      <c r="F27" s="51" t="str">
        <f>IFERROR(IF(Setup!B34&lt;&gt;"",B27/C27,""),"")</f>
        <v/>
      </c>
      <c r="G27" s="50" t="str">
        <f>IF(Setup!B34&lt;&gt;"",MIN(D27,C27),"")</f>
        <v/>
      </c>
      <c r="H27" s="50" t="str">
        <f>IF(Setup!B34&lt;&gt;"",MAX(D27-C27,0),"")</f>
        <v/>
      </c>
      <c r="I27" s="19" t="str">
        <f>IF(Setup!B34&lt;&gt;"",F27*G27,"")</f>
        <v/>
      </c>
      <c r="J27" s="19" t="str">
        <f>IF(Setup!B34&lt;&gt;"",F27*H27*$B4,"")</f>
        <v/>
      </c>
      <c r="K27" s="19" t="str">
        <f>IF(Setup!B34&lt;&gt;"",IF(E27=0,$B5,0),"")</f>
        <v/>
      </c>
      <c r="L27" s="52" t="str">
        <f>IF(Setup!B34&lt;&gt;"",I27+J27+K27,"")</f>
        <v/>
      </c>
      <c r="M27" s="19" t="str">
        <f>IF(Setup!B34&lt;&gt;"",Payroll_Jan!P27,"")</f>
        <v/>
      </c>
      <c r="N27" s="46">
        <v>0</v>
      </c>
      <c r="O27" s="46">
        <v>0</v>
      </c>
      <c r="P27" s="52" t="str">
        <f>IF(Setup!B34&lt;&gt;"",M27+N27-O27,"")</f>
        <v/>
      </c>
      <c r="Q27" s="46">
        <v>0</v>
      </c>
      <c r="R27" s="47" t="str">
        <f>IF(Setup!B34&lt;&gt;"",L27-O27-Q27,"")</f>
        <v/>
      </c>
    </row>
    <row r="28" spans="1:18" ht="21.75" customHeight="1" x14ac:dyDescent="0.3">
      <c r="A28" s="1">
        <f>Setup!B35</f>
        <v>0</v>
      </c>
      <c r="B28" s="40" t="str">
        <f>IF(Setup!B35&lt;&gt;"",Setup!C35,"")</f>
        <v/>
      </c>
      <c r="C28" s="41" t="str">
        <f>IF(Setup!B35&lt;&gt;"",$B3,"")</f>
        <v/>
      </c>
      <c r="D28" s="42" t="str">
        <f>IF(Setup!B35&lt;&gt;"",Attendance_Feb!Y36,"")</f>
        <v/>
      </c>
      <c r="E28" s="41" t="str">
        <f>IF(Setup!B35&lt;&gt;"",Attendance_Feb!Y37,"")</f>
        <v/>
      </c>
      <c r="F28" s="43" t="str">
        <f>IFERROR(IF(Setup!B35&lt;&gt;"",B28/C28,""),"")</f>
        <v/>
      </c>
      <c r="G28" s="42" t="str">
        <f>IF(Setup!B35&lt;&gt;"",MIN(D28,C28),"")</f>
        <v/>
      </c>
      <c r="H28" s="42" t="str">
        <f>IF(Setup!B35&lt;&gt;"",MAX(D28-C28,0),"")</f>
        <v/>
      </c>
      <c r="I28" s="16" t="str">
        <f>IF(Setup!B35&lt;&gt;"",F28*G28,"")</f>
        <v/>
      </c>
      <c r="J28" s="16" t="str">
        <f>IF(Setup!B35&lt;&gt;"",F28*H28*$B4,"")</f>
        <v/>
      </c>
      <c r="K28" s="16" t="str">
        <f>IF(Setup!B35&lt;&gt;"",IF(E28=0,$B5,0),"")</f>
        <v/>
      </c>
      <c r="L28" s="44" t="str">
        <f>IF(Setup!B35&lt;&gt;"",I28+J28+K28,"")</f>
        <v/>
      </c>
      <c r="M28" s="16" t="str">
        <f>IF(Setup!B35&lt;&gt;"",Payroll_Jan!P28,"")</f>
        <v/>
      </c>
      <c r="N28" s="46">
        <v>0</v>
      </c>
      <c r="O28" s="46">
        <v>0</v>
      </c>
      <c r="P28" s="44" t="str">
        <f>IF(Setup!B35&lt;&gt;"",M28+N28-O28,"")</f>
        <v/>
      </c>
      <c r="Q28" s="46">
        <v>0</v>
      </c>
      <c r="R28" s="47" t="str">
        <f>IF(Setup!B35&lt;&gt;"",L28-O28-Q28,"")</f>
        <v/>
      </c>
    </row>
    <row r="29" spans="1:18" ht="21.75" customHeight="1" x14ac:dyDescent="0.3">
      <c r="A29" s="18">
        <f>Setup!B36</f>
        <v>0</v>
      </c>
      <c r="B29" s="48" t="str">
        <f>IF(Setup!B36&lt;&gt;"",Setup!C36,"")</f>
        <v/>
      </c>
      <c r="C29" s="49" t="str">
        <f>IF(Setup!B36&lt;&gt;"",$B3,"")</f>
        <v/>
      </c>
      <c r="D29" s="50" t="str">
        <f>IF(Setup!B36&lt;&gt;"",Attendance_Feb!Z36,"")</f>
        <v/>
      </c>
      <c r="E29" s="49" t="str">
        <f>IF(Setup!B36&lt;&gt;"",Attendance_Feb!Z37,"")</f>
        <v/>
      </c>
      <c r="F29" s="51" t="str">
        <f>IFERROR(IF(Setup!B36&lt;&gt;"",B29/C29,""),"")</f>
        <v/>
      </c>
      <c r="G29" s="50" t="str">
        <f>IF(Setup!B36&lt;&gt;"",MIN(D29,C29),"")</f>
        <v/>
      </c>
      <c r="H29" s="50" t="str">
        <f>IF(Setup!B36&lt;&gt;"",MAX(D29-C29,0),"")</f>
        <v/>
      </c>
      <c r="I29" s="19" t="str">
        <f>IF(Setup!B36&lt;&gt;"",F29*G29,"")</f>
        <v/>
      </c>
      <c r="J29" s="19" t="str">
        <f>IF(Setup!B36&lt;&gt;"",F29*H29*$B4,"")</f>
        <v/>
      </c>
      <c r="K29" s="19" t="str">
        <f>IF(Setup!B36&lt;&gt;"",IF(E29=0,$B5,0),"")</f>
        <v/>
      </c>
      <c r="L29" s="52" t="str">
        <f>IF(Setup!B36&lt;&gt;"",I29+J29+K29,"")</f>
        <v/>
      </c>
      <c r="M29" s="19" t="str">
        <f>IF(Setup!B36&lt;&gt;"",Payroll_Jan!P29,"")</f>
        <v/>
      </c>
      <c r="N29" s="46">
        <v>0</v>
      </c>
      <c r="O29" s="46">
        <v>0</v>
      </c>
      <c r="P29" s="52" t="str">
        <f>IF(Setup!B36&lt;&gt;"",M29+N29-O29,"")</f>
        <v/>
      </c>
      <c r="Q29" s="46">
        <v>0</v>
      </c>
      <c r="R29" s="47" t="str">
        <f>IF(Setup!B36&lt;&gt;"",L29-O29-Q29,"")</f>
        <v/>
      </c>
    </row>
    <row r="30" spans="1:18" ht="21.75" customHeight="1" x14ac:dyDescent="0.3">
      <c r="A30" s="1">
        <f>Setup!B37</f>
        <v>0</v>
      </c>
      <c r="B30" s="40" t="str">
        <f>IF(Setup!B37&lt;&gt;"",Setup!C37,"")</f>
        <v/>
      </c>
      <c r="C30" s="41" t="str">
        <f>IF(Setup!B37&lt;&gt;"",$B3,"")</f>
        <v/>
      </c>
      <c r="D30" s="42" t="str">
        <f>IF(Setup!B37&lt;&gt;"",Attendance_Feb!AA36,"")</f>
        <v/>
      </c>
      <c r="E30" s="41" t="str">
        <f>IF(Setup!B37&lt;&gt;"",Attendance_Feb!AA37,"")</f>
        <v/>
      </c>
      <c r="F30" s="43" t="str">
        <f>IFERROR(IF(Setup!B37&lt;&gt;"",B30/C30,""),"")</f>
        <v/>
      </c>
      <c r="G30" s="42" t="str">
        <f>IF(Setup!B37&lt;&gt;"",MIN(D30,C30),"")</f>
        <v/>
      </c>
      <c r="H30" s="42" t="str">
        <f>IF(Setup!B37&lt;&gt;"",MAX(D30-C30,0),"")</f>
        <v/>
      </c>
      <c r="I30" s="16" t="str">
        <f>IF(Setup!B37&lt;&gt;"",F30*G30,"")</f>
        <v/>
      </c>
      <c r="J30" s="16" t="str">
        <f>IF(Setup!B37&lt;&gt;"",F30*H30*$B4,"")</f>
        <v/>
      </c>
      <c r="K30" s="16" t="str">
        <f>IF(Setup!B37&lt;&gt;"",IF(E30=0,$B5,0),"")</f>
        <v/>
      </c>
      <c r="L30" s="44" t="str">
        <f>IF(Setup!B37&lt;&gt;"",I30+J30+K30,"")</f>
        <v/>
      </c>
      <c r="M30" s="16" t="str">
        <f>IF(Setup!B37&lt;&gt;"",Payroll_Jan!P30,"")</f>
        <v/>
      </c>
      <c r="N30" s="46">
        <v>0</v>
      </c>
      <c r="O30" s="46">
        <v>0</v>
      </c>
      <c r="P30" s="44" t="str">
        <f>IF(Setup!B37&lt;&gt;"",M30+N30-O30,"")</f>
        <v/>
      </c>
      <c r="Q30" s="46">
        <v>0</v>
      </c>
      <c r="R30" s="47" t="str">
        <f>IF(Setup!B37&lt;&gt;"",L30-O30-Q30,"")</f>
        <v/>
      </c>
    </row>
    <row r="31" spans="1:18" ht="21.75" customHeight="1" x14ac:dyDescent="0.3">
      <c r="A31" s="18">
        <f>Setup!B38</f>
        <v>0</v>
      </c>
      <c r="B31" s="48" t="str">
        <f>IF(Setup!B38&lt;&gt;"",Setup!C38,"")</f>
        <v/>
      </c>
      <c r="C31" s="49" t="str">
        <f>IF(Setup!B38&lt;&gt;"",$B3,"")</f>
        <v/>
      </c>
      <c r="D31" s="50" t="str">
        <f>IF(Setup!B38&lt;&gt;"",Attendance_Feb!AB36,"")</f>
        <v/>
      </c>
      <c r="E31" s="49" t="str">
        <f>IF(Setup!B38&lt;&gt;"",Attendance_Feb!AB37,"")</f>
        <v/>
      </c>
      <c r="F31" s="51" t="str">
        <f>IFERROR(IF(Setup!B38&lt;&gt;"",B31/C31,""),"")</f>
        <v/>
      </c>
      <c r="G31" s="50" t="str">
        <f>IF(Setup!B38&lt;&gt;"",MIN(D31,C31),"")</f>
        <v/>
      </c>
      <c r="H31" s="50" t="str">
        <f>IF(Setup!B38&lt;&gt;"",MAX(D31-C31,0),"")</f>
        <v/>
      </c>
      <c r="I31" s="19" t="str">
        <f>IF(Setup!B38&lt;&gt;"",F31*G31,"")</f>
        <v/>
      </c>
      <c r="J31" s="19" t="str">
        <f>IF(Setup!B38&lt;&gt;"",F31*H31*$B4,"")</f>
        <v/>
      </c>
      <c r="K31" s="19" t="str">
        <f>IF(Setup!B38&lt;&gt;"",IF(E31=0,$B5,0),"")</f>
        <v/>
      </c>
      <c r="L31" s="52" t="str">
        <f>IF(Setup!B38&lt;&gt;"",I31+J31+K31,"")</f>
        <v/>
      </c>
      <c r="M31" s="19" t="str">
        <f>IF(Setup!B38&lt;&gt;"",Payroll_Jan!P31,"")</f>
        <v/>
      </c>
      <c r="N31" s="46">
        <v>0</v>
      </c>
      <c r="O31" s="46">
        <v>0</v>
      </c>
      <c r="P31" s="52" t="str">
        <f>IF(Setup!B38&lt;&gt;"",M31+N31-O31,"")</f>
        <v/>
      </c>
      <c r="Q31" s="46">
        <v>0</v>
      </c>
      <c r="R31" s="47" t="str">
        <f>IF(Setup!B38&lt;&gt;"",L31-O31-Q31,"")</f>
        <v/>
      </c>
    </row>
    <row r="32" spans="1:18" ht="21.75" customHeight="1" x14ac:dyDescent="0.3">
      <c r="A32" s="1">
        <f>Setup!B39</f>
        <v>0</v>
      </c>
      <c r="B32" s="40" t="str">
        <f>IF(Setup!B39&lt;&gt;"",Setup!C39,"")</f>
        <v/>
      </c>
      <c r="C32" s="41" t="str">
        <f>IF(Setup!B39&lt;&gt;"",$B3,"")</f>
        <v/>
      </c>
      <c r="D32" s="42" t="str">
        <f>IF(Setup!B39&lt;&gt;"",Attendance_Feb!AC36,"")</f>
        <v/>
      </c>
      <c r="E32" s="41" t="str">
        <f>IF(Setup!B39&lt;&gt;"",Attendance_Feb!AC37,"")</f>
        <v/>
      </c>
      <c r="F32" s="43" t="str">
        <f>IFERROR(IF(Setup!B39&lt;&gt;"",B32/C32,""),"")</f>
        <v/>
      </c>
      <c r="G32" s="42" t="str">
        <f>IF(Setup!B39&lt;&gt;"",MIN(D32,C32),"")</f>
        <v/>
      </c>
      <c r="H32" s="42" t="str">
        <f>IF(Setup!B39&lt;&gt;"",MAX(D32-C32,0),"")</f>
        <v/>
      </c>
      <c r="I32" s="16" t="str">
        <f>IF(Setup!B39&lt;&gt;"",F32*G32,"")</f>
        <v/>
      </c>
      <c r="J32" s="16" t="str">
        <f>IF(Setup!B39&lt;&gt;"",F32*H32*$B4,"")</f>
        <v/>
      </c>
      <c r="K32" s="16" t="str">
        <f>IF(Setup!B39&lt;&gt;"",IF(E32=0,$B5,0),"")</f>
        <v/>
      </c>
      <c r="L32" s="44" t="str">
        <f>IF(Setup!B39&lt;&gt;"",I32+J32+K32,"")</f>
        <v/>
      </c>
      <c r="M32" s="16" t="str">
        <f>IF(Setup!B39&lt;&gt;"",Payroll_Jan!P32,"")</f>
        <v/>
      </c>
      <c r="N32" s="46">
        <v>0</v>
      </c>
      <c r="O32" s="46">
        <v>0</v>
      </c>
      <c r="P32" s="44" t="str">
        <f>IF(Setup!B39&lt;&gt;"",M32+N32-O32,"")</f>
        <v/>
      </c>
      <c r="Q32" s="46">
        <v>0</v>
      </c>
      <c r="R32" s="47" t="str">
        <f>IF(Setup!B39&lt;&gt;"",L32-O32-Q32,"")</f>
        <v/>
      </c>
    </row>
    <row r="33" spans="1:18" ht="21.75" customHeight="1" x14ac:dyDescent="0.3">
      <c r="A33" s="18">
        <f>Setup!B40</f>
        <v>0</v>
      </c>
      <c r="B33" s="48" t="str">
        <f>IF(Setup!B40&lt;&gt;"",Setup!C40,"")</f>
        <v/>
      </c>
      <c r="C33" s="49" t="str">
        <f>IF(Setup!B40&lt;&gt;"",$B3,"")</f>
        <v/>
      </c>
      <c r="D33" s="50" t="str">
        <f>IF(Setup!B40&lt;&gt;"",Attendance_Feb!AD36,"")</f>
        <v/>
      </c>
      <c r="E33" s="49" t="str">
        <f>IF(Setup!B40&lt;&gt;"",Attendance_Feb!AD37,"")</f>
        <v/>
      </c>
      <c r="F33" s="51" t="str">
        <f>IFERROR(IF(Setup!B40&lt;&gt;"",B33/C33,""),"")</f>
        <v/>
      </c>
      <c r="G33" s="50" t="str">
        <f>IF(Setup!B40&lt;&gt;"",MIN(D33,C33),"")</f>
        <v/>
      </c>
      <c r="H33" s="50" t="str">
        <f>IF(Setup!B40&lt;&gt;"",MAX(D33-C33,0),"")</f>
        <v/>
      </c>
      <c r="I33" s="19" t="str">
        <f>IF(Setup!B40&lt;&gt;"",F33*G33,"")</f>
        <v/>
      </c>
      <c r="J33" s="19" t="str">
        <f>IF(Setup!B40&lt;&gt;"",F33*H33*$B4,"")</f>
        <v/>
      </c>
      <c r="K33" s="19" t="str">
        <f>IF(Setup!B40&lt;&gt;"",IF(E33=0,$B5,0),"")</f>
        <v/>
      </c>
      <c r="L33" s="52" t="str">
        <f>IF(Setup!B40&lt;&gt;"",I33+J33+K33,"")</f>
        <v/>
      </c>
      <c r="M33" s="19" t="str">
        <f>IF(Setup!B40&lt;&gt;"",Payroll_Jan!P33,"")</f>
        <v/>
      </c>
      <c r="N33" s="46">
        <v>0</v>
      </c>
      <c r="O33" s="46">
        <v>0</v>
      </c>
      <c r="P33" s="52" t="str">
        <f>IF(Setup!B40&lt;&gt;"",M33+N33-O33,"")</f>
        <v/>
      </c>
      <c r="Q33" s="46">
        <v>0</v>
      </c>
      <c r="R33" s="47" t="str">
        <f>IF(Setup!B40&lt;&gt;"",L33-O33-Q33,"")</f>
        <v/>
      </c>
    </row>
    <row r="34" spans="1:18" ht="21.75" customHeight="1" x14ac:dyDescent="0.3">
      <c r="A34" s="1">
        <f>Setup!B41</f>
        <v>0</v>
      </c>
      <c r="B34" s="40" t="str">
        <f>IF(Setup!B41&lt;&gt;"",Setup!C41,"")</f>
        <v/>
      </c>
      <c r="C34" s="41" t="str">
        <f>IF(Setup!B41&lt;&gt;"",$B3,"")</f>
        <v/>
      </c>
      <c r="D34" s="42" t="str">
        <f>IF(Setup!B41&lt;&gt;"",Attendance_Feb!AE36,"")</f>
        <v/>
      </c>
      <c r="E34" s="41" t="str">
        <f>IF(Setup!B41&lt;&gt;"",Attendance_Feb!AE37,"")</f>
        <v/>
      </c>
      <c r="F34" s="43" t="str">
        <f>IFERROR(IF(Setup!B41&lt;&gt;"",B34/C34,""),"")</f>
        <v/>
      </c>
      <c r="G34" s="42" t="str">
        <f>IF(Setup!B41&lt;&gt;"",MIN(D34,C34),"")</f>
        <v/>
      </c>
      <c r="H34" s="42" t="str">
        <f>IF(Setup!B41&lt;&gt;"",MAX(D34-C34,0),"")</f>
        <v/>
      </c>
      <c r="I34" s="16" t="str">
        <f>IF(Setup!B41&lt;&gt;"",F34*G34,"")</f>
        <v/>
      </c>
      <c r="J34" s="16" t="str">
        <f>IF(Setup!B41&lt;&gt;"",F34*H34*$B4,"")</f>
        <v/>
      </c>
      <c r="K34" s="16" t="str">
        <f>IF(Setup!B41&lt;&gt;"",IF(E34=0,$B5,0),"")</f>
        <v/>
      </c>
      <c r="L34" s="44" t="str">
        <f>IF(Setup!B41&lt;&gt;"",I34+J34+K34,"")</f>
        <v/>
      </c>
      <c r="M34" s="16" t="str">
        <f>IF(Setup!B41&lt;&gt;"",Payroll_Jan!P34,"")</f>
        <v/>
      </c>
      <c r="N34" s="46">
        <v>0</v>
      </c>
      <c r="O34" s="46">
        <v>0</v>
      </c>
      <c r="P34" s="44" t="str">
        <f>IF(Setup!B41&lt;&gt;"",M34+N34-O34,"")</f>
        <v/>
      </c>
      <c r="Q34" s="46">
        <v>0</v>
      </c>
      <c r="R34" s="47" t="str">
        <f>IF(Setup!B41&lt;&gt;"",L34-O34-Q34,"")</f>
        <v/>
      </c>
    </row>
    <row r="35" spans="1:18" ht="21.75" customHeight="1" x14ac:dyDescent="0.3">
      <c r="A35" s="18">
        <f>Setup!B42</f>
        <v>0</v>
      </c>
      <c r="B35" s="48" t="str">
        <f>IF(Setup!B42&lt;&gt;"",Setup!C42,"")</f>
        <v/>
      </c>
      <c r="C35" s="49" t="str">
        <f>IF(Setup!B42&lt;&gt;"",$B3,"")</f>
        <v/>
      </c>
      <c r="D35" s="50" t="str">
        <f>IF(Setup!B42&lt;&gt;"",Attendance_Feb!AF36,"")</f>
        <v/>
      </c>
      <c r="E35" s="49" t="str">
        <f>IF(Setup!B42&lt;&gt;"",Attendance_Feb!AF37,"")</f>
        <v/>
      </c>
      <c r="F35" s="51" t="str">
        <f>IFERROR(IF(Setup!B42&lt;&gt;"",B35/C35,""),"")</f>
        <v/>
      </c>
      <c r="G35" s="50" t="str">
        <f>IF(Setup!B42&lt;&gt;"",MIN(D35,C35),"")</f>
        <v/>
      </c>
      <c r="H35" s="50" t="str">
        <f>IF(Setup!B42&lt;&gt;"",MAX(D35-C35,0),"")</f>
        <v/>
      </c>
      <c r="I35" s="19" t="str">
        <f>IF(Setup!B42&lt;&gt;"",F35*G35,"")</f>
        <v/>
      </c>
      <c r="J35" s="19" t="str">
        <f>IF(Setup!B42&lt;&gt;"",F35*H35*$B4,"")</f>
        <v/>
      </c>
      <c r="K35" s="19" t="str">
        <f>IF(Setup!B42&lt;&gt;"",IF(E35=0,$B5,0),"")</f>
        <v/>
      </c>
      <c r="L35" s="52" t="str">
        <f>IF(Setup!B42&lt;&gt;"",I35+J35+K35,"")</f>
        <v/>
      </c>
      <c r="M35" s="19" t="str">
        <f>IF(Setup!B42&lt;&gt;"",Payroll_Jan!P35,"")</f>
        <v/>
      </c>
      <c r="N35" s="46">
        <v>0</v>
      </c>
      <c r="O35" s="46">
        <v>0</v>
      </c>
      <c r="P35" s="52" t="str">
        <f>IF(Setup!B42&lt;&gt;"",M35+N35-O35,"")</f>
        <v/>
      </c>
      <c r="Q35" s="46">
        <v>0</v>
      </c>
      <c r="R35" s="47" t="str">
        <f>IF(Setup!B42&lt;&gt;"",L35-O35-Q35,"")</f>
        <v/>
      </c>
    </row>
    <row r="36" spans="1:18" ht="21.75" customHeight="1" x14ac:dyDescent="0.3">
      <c r="A36" s="1">
        <f>Setup!B43</f>
        <v>0</v>
      </c>
      <c r="B36" s="40" t="str">
        <f>IF(Setup!B43&lt;&gt;"",Setup!C43,"")</f>
        <v/>
      </c>
      <c r="C36" s="41" t="str">
        <f>IF(Setup!B43&lt;&gt;"",$B3,"")</f>
        <v/>
      </c>
      <c r="D36" s="42" t="str">
        <f>IF(Setup!B43&lt;&gt;"",Attendance_Feb!AG36,"")</f>
        <v/>
      </c>
      <c r="E36" s="41" t="str">
        <f>IF(Setup!B43&lt;&gt;"",Attendance_Feb!AG37,"")</f>
        <v/>
      </c>
      <c r="F36" s="43" t="str">
        <f>IFERROR(IF(Setup!B43&lt;&gt;"",B36/C36,""),"")</f>
        <v/>
      </c>
      <c r="G36" s="42" t="str">
        <f>IF(Setup!B43&lt;&gt;"",MIN(D36,C36),"")</f>
        <v/>
      </c>
      <c r="H36" s="42" t="str">
        <f>IF(Setup!B43&lt;&gt;"",MAX(D36-C36,0),"")</f>
        <v/>
      </c>
      <c r="I36" s="16" t="str">
        <f>IF(Setup!B43&lt;&gt;"",F36*G36,"")</f>
        <v/>
      </c>
      <c r="J36" s="16" t="str">
        <f>IF(Setup!B43&lt;&gt;"",F36*H36*$B4,"")</f>
        <v/>
      </c>
      <c r="K36" s="16" t="str">
        <f>IF(Setup!B43&lt;&gt;"",IF(E36=0,$B5,0),"")</f>
        <v/>
      </c>
      <c r="L36" s="44" t="str">
        <f>IF(Setup!B43&lt;&gt;"",I36+J36+K36,"")</f>
        <v/>
      </c>
      <c r="M36" s="16" t="str">
        <f>IF(Setup!B43&lt;&gt;"",Payroll_Jan!P36,"")</f>
        <v/>
      </c>
      <c r="N36" s="46">
        <v>0</v>
      </c>
      <c r="O36" s="46">
        <v>0</v>
      </c>
      <c r="P36" s="44" t="str">
        <f>IF(Setup!B43&lt;&gt;"",M36+N36-O36,"")</f>
        <v/>
      </c>
      <c r="Q36" s="46">
        <v>0</v>
      </c>
      <c r="R36" s="47" t="str">
        <f>IF(Setup!B43&lt;&gt;"",L36-O36-Q36,"")</f>
        <v/>
      </c>
    </row>
    <row r="37" spans="1:18" ht="21.75" customHeight="1" x14ac:dyDescent="0.3">
      <c r="A37" s="18">
        <f>Setup!B44</f>
        <v>0</v>
      </c>
      <c r="B37" s="48" t="str">
        <f>IF(Setup!B44&lt;&gt;"",Setup!C44,"")</f>
        <v/>
      </c>
      <c r="C37" s="49" t="str">
        <f>IF(Setup!B44&lt;&gt;"",$B3,"")</f>
        <v/>
      </c>
      <c r="D37" s="50" t="str">
        <f>IF(Setup!B44&lt;&gt;"",Attendance_Feb!AH36,"")</f>
        <v/>
      </c>
      <c r="E37" s="49" t="str">
        <f>IF(Setup!B44&lt;&gt;"",Attendance_Feb!AH37,"")</f>
        <v/>
      </c>
      <c r="F37" s="51" t="str">
        <f>IFERROR(IF(Setup!B44&lt;&gt;"",B37/C37,""),"")</f>
        <v/>
      </c>
      <c r="G37" s="50" t="str">
        <f>IF(Setup!B44&lt;&gt;"",MIN(D37,C37),"")</f>
        <v/>
      </c>
      <c r="H37" s="50" t="str">
        <f>IF(Setup!B44&lt;&gt;"",MAX(D37-C37,0),"")</f>
        <v/>
      </c>
      <c r="I37" s="19" t="str">
        <f>IF(Setup!B44&lt;&gt;"",F37*G37,"")</f>
        <v/>
      </c>
      <c r="J37" s="19" t="str">
        <f>IF(Setup!B44&lt;&gt;"",F37*H37*$B4,"")</f>
        <v/>
      </c>
      <c r="K37" s="19" t="str">
        <f>IF(Setup!B44&lt;&gt;"",IF(E37=0,$B5,0),"")</f>
        <v/>
      </c>
      <c r="L37" s="52" t="str">
        <f>IF(Setup!B44&lt;&gt;"",I37+J37+K37,"")</f>
        <v/>
      </c>
      <c r="M37" s="19" t="str">
        <f>IF(Setup!B44&lt;&gt;"",Payroll_Jan!P37,"")</f>
        <v/>
      </c>
      <c r="N37" s="46">
        <v>0</v>
      </c>
      <c r="O37" s="46">
        <v>0</v>
      </c>
      <c r="P37" s="52" t="str">
        <f>IF(Setup!B44&lt;&gt;"",M37+N37-O37,"")</f>
        <v/>
      </c>
      <c r="Q37" s="46">
        <v>0</v>
      </c>
      <c r="R37" s="47" t="str">
        <f>IF(Setup!B44&lt;&gt;"",L37-O37-Q37,"")</f>
        <v/>
      </c>
    </row>
    <row r="38" spans="1:18" ht="25.5" customHeight="1" x14ac:dyDescent="0.3">
      <c r="A38" s="55" t="s">
        <v>113</v>
      </c>
      <c r="B38" s="55"/>
      <c r="C38" s="17">
        <f>SUM(C8:C37)</f>
        <v>2688</v>
      </c>
      <c r="D38" s="36">
        <f>SUM(D8:D37)</f>
        <v>2335.37</v>
      </c>
      <c r="E38" s="17">
        <f>SUM(E8:E37)</f>
        <v>0</v>
      </c>
      <c r="F38" s="17"/>
      <c r="G38" s="36">
        <f t="shared" ref="G38:R38" si="0">SUM(G8:G37)</f>
        <v>2335.37</v>
      </c>
      <c r="H38" s="36">
        <f t="shared" si="0"/>
        <v>0</v>
      </c>
      <c r="I38" s="17">
        <f t="shared" si="0"/>
        <v>434399.73958333337</v>
      </c>
      <c r="J38" s="17">
        <f t="shared" si="0"/>
        <v>0</v>
      </c>
      <c r="K38" s="17">
        <f t="shared" si="0"/>
        <v>0</v>
      </c>
      <c r="L38" s="17">
        <f t="shared" si="0"/>
        <v>434399.73958333337</v>
      </c>
      <c r="M38" s="17">
        <f t="shared" si="0"/>
        <v>0</v>
      </c>
      <c r="N38" s="17">
        <f t="shared" si="0"/>
        <v>132500</v>
      </c>
      <c r="O38" s="17">
        <f t="shared" si="0"/>
        <v>112500</v>
      </c>
      <c r="P38" s="17">
        <f t="shared" si="0"/>
        <v>20000</v>
      </c>
      <c r="Q38" s="17">
        <f t="shared" si="0"/>
        <v>0</v>
      </c>
      <c r="R38" s="17">
        <f t="shared" si="0"/>
        <v>321899.73958333331</v>
      </c>
    </row>
    <row r="40" spans="1:18" ht="19.5" customHeight="1" x14ac:dyDescent="0.3">
      <c r="A40" s="56" t="s">
        <v>114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</sheetData>
  <mergeCells count="3">
    <mergeCell ref="A1:R1"/>
    <mergeCell ref="A38:B38"/>
    <mergeCell ref="A40:R40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6600"/>
  </sheetPr>
  <dimension ref="A1:R40"/>
  <sheetViews>
    <sheetView showGridLines="0" topLeftCell="F1" zoomScaleNormal="100" workbookViewId="0">
      <pane ySplit="7" topLeftCell="A8" activePane="bottomLeft" state="frozen"/>
      <selection pane="bottomLeft" activeCell="T14" sqref="T14"/>
    </sheetView>
  </sheetViews>
  <sheetFormatPr defaultColWidth="8.5546875" defaultRowHeight="14.4" x14ac:dyDescent="0.3"/>
  <cols>
    <col min="1" max="1" width="22" customWidth="1"/>
    <col min="2" max="2" width="15" customWidth="1"/>
    <col min="3" max="4" width="11" customWidth="1"/>
    <col min="5" max="5" width="10" customWidth="1"/>
    <col min="6" max="7" width="12" customWidth="1"/>
    <col min="8" max="8" width="10" customWidth="1"/>
    <col min="9" max="9" width="14" customWidth="1"/>
    <col min="10" max="10" width="13" customWidth="1"/>
    <col min="11" max="11" width="16" customWidth="1"/>
    <col min="12" max="12" width="14" customWidth="1"/>
    <col min="13" max="16" width="12" customWidth="1"/>
    <col min="17" max="17" width="15" customWidth="1"/>
    <col min="18" max="18" width="14" customWidth="1"/>
  </cols>
  <sheetData>
    <row r="1" spans="1:18" ht="31.5" customHeight="1" x14ac:dyDescent="0.3">
      <c r="A1" s="54" t="s">
        <v>117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1" t="s">
        <v>93</v>
      </c>
      <c r="B2" s="10" t="s">
        <v>118</v>
      </c>
    </row>
    <row r="3" spans="1:18" ht="19.5" customHeight="1" x14ac:dyDescent="0.3">
      <c r="A3" s="1" t="s">
        <v>95</v>
      </c>
      <c r="B3" s="10">
        <v>208</v>
      </c>
    </row>
    <row r="4" spans="1:18" ht="19.5" customHeight="1" x14ac:dyDescent="0.3">
      <c r="A4" s="1" t="s">
        <v>14</v>
      </c>
      <c r="B4" s="38">
        <f>Setup!B9</f>
        <v>1.5</v>
      </c>
    </row>
    <row r="5" spans="1:18" ht="19.5" customHeight="1" x14ac:dyDescent="0.3">
      <c r="A5" s="1" t="s">
        <v>16</v>
      </c>
      <c r="B5" s="12">
        <f>Setup!B10</f>
        <v>0</v>
      </c>
    </row>
    <row r="7" spans="1:18" ht="36" customHeight="1" x14ac:dyDescent="0.3">
      <c r="A7" s="39" t="s">
        <v>37</v>
      </c>
      <c r="B7" s="39" t="s">
        <v>96</v>
      </c>
      <c r="C7" s="39" t="s">
        <v>97</v>
      </c>
      <c r="D7" s="39" t="s">
        <v>98</v>
      </c>
      <c r="E7" s="39" t="s">
        <v>99</v>
      </c>
      <c r="F7" s="39" t="s">
        <v>100</v>
      </c>
      <c r="G7" s="39" t="s">
        <v>101</v>
      </c>
      <c r="H7" s="39" t="s">
        <v>102</v>
      </c>
      <c r="I7" s="21" t="s">
        <v>103</v>
      </c>
      <c r="J7" s="21" t="s">
        <v>104</v>
      </c>
      <c r="K7" s="21" t="s">
        <v>105</v>
      </c>
      <c r="L7" s="21" t="s">
        <v>106</v>
      </c>
      <c r="M7" s="21" t="s">
        <v>107</v>
      </c>
      <c r="N7" s="21" t="s">
        <v>108</v>
      </c>
      <c r="O7" s="21" t="s">
        <v>109</v>
      </c>
      <c r="P7" s="21" t="s">
        <v>110</v>
      </c>
      <c r="Q7" s="21" t="s">
        <v>111</v>
      </c>
      <c r="R7" s="21" t="s">
        <v>112</v>
      </c>
    </row>
    <row r="8" spans="1:18" ht="21.75" customHeight="1" x14ac:dyDescent="0.3">
      <c r="A8" s="1" t="str">
        <f>Setup!B15</f>
        <v>Sheraz</v>
      </c>
      <c r="B8" s="40">
        <f>IF(Setup!B15&lt;&gt;"",Setup!C15,"")</f>
        <v>38000</v>
      </c>
      <c r="C8" s="41">
        <f>IF(Setup!B15&lt;&gt;"",$B3,"")</f>
        <v>208</v>
      </c>
      <c r="D8" s="42">
        <f>IF(Setup!B15&lt;&gt;"",Attendance_Mar!E39,"")</f>
        <v>160.30000000000001</v>
      </c>
      <c r="E8" s="41">
        <f>IF(Setup!B15&lt;&gt;"",Attendance_Mar!E40,"")</f>
        <v>0</v>
      </c>
      <c r="F8" s="43">
        <f>IFERROR(IF(Setup!B15&lt;&gt;"",B8/C8,""),"")</f>
        <v>182.69230769230768</v>
      </c>
      <c r="G8" s="42">
        <f>IF(Setup!B15&lt;&gt;"",MIN(D8,C8),"")</f>
        <v>160.30000000000001</v>
      </c>
      <c r="H8" s="42">
        <f>IF(Setup!B15&lt;&gt;"",MAX(D8-C8,0),"")</f>
        <v>0</v>
      </c>
      <c r="I8" s="16">
        <f>IF(Setup!B15&lt;&gt;"",F8*G8,"")</f>
        <v>29285.576923076922</v>
      </c>
      <c r="J8" s="16">
        <f>IF(Setup!B15&lt;&gt;"",F8*H8*$B4,"")</f>
        <v>0</v>
      </c>
      <c r="K8" s="16">
        <f>IF(Setup!B15&lt;&gt;"",IF(E8=0,$B5,0),"")</f>
        <v>0</v>
      </c>
      <c r="L8" s="44">
        <f>IF(Setup!B15&lt;&gt;"",I8+J8+K8,"")</f>
        <v>29285.576923076922</v>
      </c>
      <c r="M8" s="16">
        <f>IF(Setup!B15&lt;&gt;"",Payroll_Feb!P8,"")</f>
        <v>0</v>
      </c>
      <c r="N8" s="46">
        <v>25000</v>
      </c>
      <c r="O8" s="46">
        <v>25000</v>
      </c>
      <c r="P8" s="44">
        <f>IF(Setup!B15&lt;&gt;"",M8+N8-O8,"")</f>
        <v>0</v>
      </c>
      <c r="Q8" s="46">
        <v>0</v>
      </c>
      <c r="R8" s="47">
        <f>IF(Setup!B15&lt;&gt;"",L8-O8-Q8,"")</f>
        <v>4285.576923076922</v>
      </c>
    </row>
    <row r="9" spans="1:18" ht="21.75" customHeight="1" x14ac:dyDescent="0.3">
      <c r="A9" s="18" t="str">
        <f>Setup!B16</f>
        <v>Zain</v>
      </c>
      <c r="B9" s="48">
        <f>IF(Setup!B16&lt;&gt;"",Setup!C16,"")</f>
        <v>53000</v>
      </c>
      <c r="C9" s="49">
        <f>IF(Setup!B16&lt;&gt;"",$B3,"")</f>
        <v>208</v>
      </c>
      <c r="D9" s="50">
        <f>IF(Setup!B16&lt;&gt;"",Attendance_Mar!F39,"")</f>
        <v>197</v>
      </c>
      <c r="E9" s="49">
        <f>IF(Setup!B16&lt;&gt;"",Attendance_Mar!F40,"")</f>
        <v>0</v>
      </c>
      <c r="F9" s="51">
        <f>IFERROR(IF(Setup!B16&lt;&gt;"",B9/C9,""),"")</f>
        <v>254.80769230769232</v>
      </c>
      <c r="G9" s="50">
        <f>IF(Setup!B16&lt;&gt;"",MIN(D9,C9),"")</f>
        <v>197</v>
      </c>
      <c r="H9" s="50">
        <f>IF(Setup!B16&lt;&gt;"",MAX(D9-C9,0),"")</f>
        <v>0</v>
      </c>
      <c r="I9" s="19">
        <f>IF(Setup!B16&lt;&gt;"",F9*G9,"")</f>
        <v>50197.11538461539</v>
      </c>
      <c r="J9" s="19">
        <f>IF(Setup!B16&lt;&gt;"",F9*H9*$B4,"")</f>
        <v>0</v>
      </c>
      <c r="K9" s="19">
        <f>IF(Setup!B16&lt;&gt;"",IF(E9=0,$B5,0),"")</f>
        <v>0</v>
      </c>
      <c r="L9" s="52">
        <f>IF(Setup!B16&lt;&gt;"",I9+J9+K9,"")</f>
        <v>50197.11538461539</v>
      </c>
      <c r="M9" s="19">
        <f>IF(Setup!B16&lt;&gt;"",Payroll_Feb!P9,"")</f>
        <v>0</v>
      </c>
      <c r="N9" s="46">
        <v>38000</v>
      </c>
      <c r="O9" s="46">
        <v>38000</v>
      </c>
      <c r="P9" s="52">
        <f>IF(Setup!B16&lt;&gt;"",M9+N9-O9,"")</f>
        <v>0</v>
      </c>
      <c r="Q9" s="46">
        <v>0</v>
      </c>
      <c r="R9" s="47">
        <f>IF(Setup!B16&lt;&gt;"",L9-O9-Q9,"")</f>
        <v>12197.11538461539</v>
      </c>
    </row>
    <row r="10" spans="1:18" ht="21.75" customHeight="1" x14ac:dyDescent="0.3">
      <c r="A10" s="1" t="str">
        <f>Setup!B17</f>
        <v>Yousaf</v>
      </c>
      <c r="B10" s="40">
        <f>IF(Setup!B17&lt;&gt;"",Setup!C17,"")</f>
        <v>28000</v>
      </c>
      <c r="C10" s="41">
        <f>IF(Setup!B17&lt;&gt;"",$B3,"")</f>
        <v>208</v>
      </c>
      <c r="D10" s="42">
        <f>IF(Setup!B17&lt;&gt;"",Attendance_Mar!G39,"")</f>
        <v>161</v>
      </c>
      <c r="E10" s="41">
        <f>IF(Setup!B17&lt;&gt;"",Attendance_Mar!G40,"")</f>
        <v>0</v>
      </c>
      <c r="F10" s="43">
        <f>IFERROR(IF(Setup!B17&lt;&gt;"",B10/C10,""),"")</f>
        <v>134.61538461538461</v>
      </c>
      <c r="G10" s="42">
        <f>IF(Setup!B17&lt;&gt;"",MIN(D10,C10),"")</f>
        <v>161</v>
      </c>
      <c r="H10" s="42">
        <f>IF(Setup!B17&lt;&gt;"",MAX(D10-C10,0),"")</f>
        <v>0</v>
      </c>
      <c r="I10" s="16">
        <f>IF(Setup!B17&lt;&gt;"",F10*G10,"")</f>
        <v>21673.076923076922</v>
      </c>
      <c r="J10" s="16">
        <f>IF(Setup!B17&lt;&gt;"",F10*H10*$B4,"")</f>
        <v>0</v>
      </c>
      <c r="K10" s="16">
        <f>IF(Setup!B17&lt;&gt;"",IF(E10=0,$B5,0),"")</f>
        <v>0</v>
      </c>
      <c r="L10" s="44">
        <f>IF(Setup!B17&lt;&gt;"",I10+J10+K10,"")</f>
        <v>21673.076923076922</v>
      </c>
      <c r="M10" s="16">
        <f>IF(Setup!B17&lt;&gt;"",Payroll_Feb!P10,"")</f>
        <v>0</v>
      </c>
      <c r="N10" s="46">
        <v>12000</v>
      </c>
      <c r="O10" s="46">
        <v>12000</v>
      </c>
      <c r="P10" s="44">
        <f>IF(Setup!B17&lt;&gt;"",M10+N10-O10,"")</f>
        <v>0</v>
      </c>
      <c r="Q10" s="46">
        <v>0</v>
      </c>
      <c r="R10" s="47">
        <f>IF(Setup!B17&lt;&gt;"",L10-O10-Q10,"")</f>
        <v>9673.076923076922</v>
      </c>
    </row>
    <row r="11" spans="1:18" ht="21.75" customHeight="1" x14ac:dyDescent="0.3">
      <c r="A11" s="18" t="str">
        <f>Setup!B18</f>
        <v>Hamza</v>
      </c>
      <c r="B11" s="48">
        <f>IF(Setup!B18&lt;&gt;"",Setup!C18,"")</f>
        <v>25000</v>
      </c>
      <c r="C11" s="49">
        <f>IF(Setup!B18&lt;&gt;"",$B3,"")</f>
        <v>208</v>
      </c>
      <c r="D11" s="50">
        <f>IF(Setup!B18&lt;&gt;"",Attendance_Mar!H39,"")</f>
        <v>175.32000000000002</v>
      </c>
      <c r="E11" s="49">
        <f>IF(Setup!B18&lt;&gt;"",Attendance_Mar!H40,"")</f>
        <v>0</v>
      </c>
      <c r="F11" s="51">
        <f>IFERROR(IF(Setup!B18&lt;&gt;"",B11/C11,""),"")</f>
        <v>120.19230769230769</v>
      </c>
      <c r="G11" s="50">
        <f>IF(Setup!B18&lt;&gt;"",MIN(D11,C11),"")</f>
        <v>175.32000000000002</v>
      </c>
      <c r="H11" s="50">
        <f>IF(Setup!B18&lt;&gt;"",MAX(D11-C11,0),"")</f>
        <v>0</v>
      </c>
      <c r="I11" s="19">
        <f>IF(Setup!B18&lt;&gt;"",F11*G11,"")</f>
        <v>21072.115384615387</v>
      </c>
      <c r="J11" s="19">
        <f>IF(Setup!B18&lt;&gt;"",F11*H11*$B4,"")</f>
        <v>0</v>
      </c>
      <c r="K11" s="19">
        <f>IF(Setup!B18&lt;&gt;"",IF(E11=0,$B5,0),"")</f>
        <v>0</v>
      </c>
      <c r="L11" s="52">
        <f>IF(Setup!B18&lt;&gt;"",I11+J11+K11,"")</f>
        <v>21072.115384615387</v>
      </c>
      <c r="M11" s="19">
        <f>IF(Setup!B18&lt;&gt;"",Payroll_Feb!P11,"")</f>
        <v>10000</v>
      </c>
      <c r="N11" s="46">
        <v>22000</v>
      </c>
      <c r="O11" s="46">
        <v>12000</v>
      </c>
      <c r="P11" s="52">
        <f>IF(Setup!B18&lt;&gt;"",M11+N11-O11,"")</f>
        <v>20000</v>
      </c>
      <c r="Q11" s="46">
        <v>0</v>
      </c>
      <c r="R11" s="47">
        <f>IF(Setup!B18&lt;&gt;"",L11-O11-Q11,"")</f>
        <v>9072.1153846153866</v>
      </c>
    </row>
    <row r="12" spans="1:18" ht="21.75" customHeight="1" x14ac:dyDescent="0.3">
      <c r="A12" s="1" t="str">
        <f>Setup!B19</f>
        <v>Amjad</v>
      </c>
      <c r="B12" s="40">
        <f>IF(Setup!B19&lt;&gt;"",Setup!C19,"")</f>
        <v>25000</v>
      </c>
      <c r="C12" s="41">
        <f>IF(Setup!B19&lt;&gt;"",$B3,"")</f>
        <v>208</v>
      </c>
      <c r="D12" s="42">
        <f>IF(Setup!B19&lt;&gt;"",Attendance_Mar!I39,"")</f>
        <v>179.18</v>
      </c>
      <c r="E12" s="41">
        <f>IF(Setup!B19&lt;&gt;"",Attendance_Mar!I40,"")</f>
        <v>0</v>
      </c>
      <c r="F12" s="43">
        <f>IFERROR(IF(Setup!B19&lt;&gt;"",B12/C12,""),"")</f>
        <v>120.19230769230769</v>
      </c>
      <c r="G12" s="42">
        <f>IF(Setup!B19&lt;&gt;"",MIN(D12,C12),"")</f>
        <v>179.18</v>
      </c>
      <c r="H12" s="42">
        <f>IF(Setup!B19&lt;&gt;"",MAX(D12-C12,0),"")</f>
        <v>0</v>
      </c>
      <c r="I12" s="16">
        <f>IF(Setup!B19&lt;&gt;"",F12*G12,"")</f>
        <v>21536.057692307695</v>
      </c>
      <c r="J12" s="16">
        <f>IF(Setup!B19&lt;&gt;"",F12*H12*$B4,"")</f>
        <v>0</v>
      </c>
      <c r="K12" s="16">
        <f>IF(Setup!B19&lt;&gt;"",IF(E12=0,$B5,0),"")</f>
        <v>0</v>
      </c>
      <c r="L12" s="44">
        <f>IF(Setup!B19&lt;&gt;"",I12+J12+K12,"")</f>
        <v>21536.057692307695</v>
      </c>
      <c r="M12" s="16">
        <f>IF(Setup!B19&lt;&gt;"",Payroll_Feb!P12,"")</f>
        <v>0</v>
      </c>
      <c r="N12" s="46">
        <v>10000</v>
      </c>
      <c r="O12" s="46">
        <v>10000</v>
      </c>
      <c r="P12" s="44">
        <f>IF(Setup!B19&lt;&gt;"",M12+N12-O12,"")</f>
        <v>0</v>
      </c>
      <c r="Q12" s="46">
        <v>0</v>
      </c>
      <c r="R12" s="47">
        <f>IF(Setup!B19&lt;&gt;"",L12-O12-Q12,"")</f>
        <v>11536.057692307695</v>
      </c>
    </row>
    <row r="13" spans="1:18" ht="21.75" customHeight="1" x14ac:dyDescent="0.3">
      <c r="A13" s="18" t="str">
        <f>Setup!B20</f>
        <v>Tanveer</v>
      </c>
      <c r="B13" s="48">
        <f>IF(Setup!B20&lt;&gt;"",Setup!C20,"")</f>
        <v>25000</v>
      </c>
      <c r="C13" s="49">
        <f>IF(Setup!B20&lt;&gt;"",$B3,"")</f>
        <v>208</v>
      </c>
      <c r="D13" s="50">
        <f>IF(Setup!B20&lt;&gt;"",Attendance_Mar!J39,"")</f>
        <v>208</v>
      </c>
      <c r="E13" s="49">
        <f>IF(Setup!B20&lt;&gt;"",Attendance_Mar!J40,"")</f>
        <v>0</v>
      </c>
      <c r="F13" s="51">
        <f>IFERROR(IF(Setup!B20&lt;&gt;"",B13/C13,""),"")</f>
        <v>120.19230769230769</v>
      </c>
      <c r="G13" s="50">
        <f>IF(Setup!B20&lt;&gt;"",MIN(D13,C13),"")</f>
        <v>208</v>
      </c>
      <c r="H13" s="50">
        <f>IF(Setup!B20&lt;&gt;"",MAX(D13-C13,0),"")</f>
        <v>0</v>
      </c>
      <c r="I13" s="19">
        <f>IF(Setup!B20&lt;&gt;"",F13*G13,"")</f>
        <v>25000</v>
      </c>
      <c r="J13" s="19">
        <f>IF(Setup!B20&lt;&gt;"",F13*H13*$B4,"")</f>
        <v>0</v>
      </c>
      <c r="K13" s="19">
        <f>IF(Setup!B20&lt;&gt;"",IF(E13=0,$B5,0),"")</f>
        <v>0</v>
      </c>
      <c r="L13" s="52">
        <f>IF(Setup!B20&lt;&gt;"",I13+J13+K13,"")</f>
        <v>25000</v>
      </c>
      <c r="M13" s="19">
        <f>IF(Setup!B20&lt;&gt;"",Payroll_Feb!P13,"")</f>
        <v>10000</v>
      </c>
      <c r="N13" s="46">
        <v>16000</v>
      </c>
      <c r="O13" s="46">
        <v>15000</v>
      </c>
      <c r="P13" s="52">
        <f>IF(Setup!B20&lt;&gt;"",M13+N13-O13,"")</f>
        <v>11000</v>
      </c>
      <c r="Q13" s="46">
        <v>0</v>
      </c>
      <c r="R13" s="47">
        <f>IF(Setup!B20&lt;&gt;"",L13-O13-Q13,"")</f>
        <v>10000</v>
      </c>
    </row>
    <row r="14" spans="1:18" ht="21.75" customHeight="1" x14ac:dyDescent="0.3">
      <c r="A14" s="1" t="str">
        <f>Setup!B21</f>
        <v>Ali Zaman</v>
      </c>
      <c r="B14" s="40">
        <f>IF(Setup!B21&lt;&gt;"",Setup!C21,"")</f>
        <v>75000</v>
      </c>
      <c r="C14" s="41">
        <f>IF(Setup!B21&lt;&gt;"",$B3,"")</f>
        <v>208</v>
      </c>
      <c r="D14" s="42">
        <f>IF(Setup!B21&lt;&gt;"",Attendance_Mar!K39,"")</f>
        <v>208</v>
      </c>
      <c r="E14" s="41">
        <f>IF(Setup!B21&lt;&gt;"",Attendance_Mar!K40,"")</f>
        <v>0</v>
      </c>
      <c r="F14" s="43">
        <f>IFERROR(IF(Setup!B21&lt;&gt;"",B14/C14,""),"")</f>
        <v>360.57692307692309</v>
      </c>
      <c r="G14" s="42">
        <f>IF(Setup!B21&lt;&gt;"",MIN(D14,C14),"")</f>
        <v>208</v>
      </c>
      <c r="H14" s="42">
        <f>IF(Setup!B21&lt;&gt;"",MAX(D14-C14,0),"")</f>
        <v>0</v>
      </c>
      <c r="I14" s="16">
        <f>IF(Setup!B21&lt;&gt;"",F14*G14,"")</f>
        <v>75000</v>
      </c>
      <c r="J14" s="16">
        <f>IF(Setup!B21&lt;&gt;"",F14*H14*$B4,"")</f>
        <v>0</v>
      </c>
      <c r="K14" s="16">
        <f>IF(Setup!B21&lt;&gt;"",IF(E14=0,$B5,0),"")</f>
        <v>0</v>
      </c>
      <c r="L14" s="44">
        <f>IF(Setup!B21&lt;&gt;"",I14+J14+K14,"")</f>
        <v>75000</v>
      </c>
      <c r="M14" s="16">
        <f>IF(Setup!B21&lt;&gt;"",Payroll_Feb!P14,"")</f>
        <v>0</v>
      </c>
      <c r="N14" s="46">
        <v>30000</v>
      </c>
      <c r="O14" s="46">
        <v>30000</v>
      </c>
      <c r="P14" s="44">
        <f>IF(Setup!B21&lt;&gt;"",M14+N14-O14,"")</f>
        <v>0</v>
      </c>
      <c r="Q14" s="46">
        <v>0</v>
      </c>
      <c r="R14" s="47">
        <f>IF(Setup!B21&lt;&gt;"",L14-O14-Q14,"")</f>
        <v>45000</v>
      </c>
    </row>
    <row r="15" spans="1:18" ht="21.75" customHeight="1" x14ac:dyDescent="0.3">
      <c r="A15" s="18" t="str">
        <f>Setup!B22</f>
        <v>Awais Ali</v>
      </c>
      <c r="B15" s="48">
        <f>IF(Setup!B22&lt;&gt;"",Setup!C22,"")</f>
        <v>25000</v>
      </c>
      <c r="C15" s="49">
        <f>IF(Setup!B22&lt;&gt;"",$B3,"")</f>
        <v>208</v>
      </c>
      <c r="D15" s="50">
        <f>IF(Setup!B22&lt;&gt;"",Attendance_Mar!L39,"")</f>
        <v>170.63000000000002</v>
      </c>
      <c r="E15" s="49">
        <f>IF(Setup!B22&lt;&gt;"",Attendance_Mar!L40,"")</f>
        <v>0</v>
      </c>
      <c r="F15" s="51">
        <f>IFERROR(IF(Setup!B22&lt;&gt;"",B15/C15,""),"")</f>
        <v>120.19230769230769</v>
      </c>
      <c r="G15" s="50">
        <f>IF(Setup!B22&lt;&gt;"",MIN(D15,C15),"")</f>
        <v>170.63000000000002</v>
      </c>
      <c r="H15" s="50">
        <f>IF(Setup!B22&lt;&gt;"",MAX(D15-C15,0),"")</f>
        <v>0</v>
      </c>
      <c r="I15" s="19">
        <f>IF(Setup!B22&lt;&gt;"",F15*G15,"")</f>
        <v>20508.413461538465</v>
      </c>
      <c r="J15" s="19">
        <f>IF(Setup!B22&lt;&gt;"",F15*H15*$B4,"")</f>
        <v>0</v>
      </c>
      <c r="K15" s="19">
        <f>IF(Setup!B22&lt;&gt;"",IF(E15=0,$B5,0),"")</f>
        <v>0</v>
      </c>
      <c r="L15" s="52">
        <f>IF(Setup!B22&lt;&gt;"",I15+J15+K15,"")</f>
        <v>20508.413461538465</v>
      </c>
      <c r="M15" s="19">
        <f>IF(Setup!B22&lt;&gt;"",Payroll_Feb!P15,"")</f>
        <v>0</v>
      </c>
      <c r="N15" s="46">
        <v>10000</v>
      </c>
      <c r="O15" s="46">
        <v>10000</v>
      </c>
      <c r="P15" s="52">
        <f>IF(Setup!B22&lt;&gt;"",M15+N15-O15,"")</f>
        <v>0</v>
      </c>
      <c r="Q15" s="46">
        <v>0</v>
      </c>
      <c r="R15" s="47">
        <f>IF(Setup!B22&lt;&gt;"",L15-O15-Q15,"")</f>
        <v>10508.413461538465</v>
      </c>
    </row>
    <row r="16" spans="1:18" ht="21.75" customHeight="1" x14ac:dyDescent="0.3">
      <c r="A16" s="1" t="str">
        <f>Setup!B23</f>
        <v>Ishtiaq</v>
      </c>
      <c r="B16" s="40">
        <f>IF(Setup!B23&lt;&gt;"",Setup!C23,"")</f>
        <v>25000</v>
      </c>
      <c r="C16" s="41">
        <f>IF(Setup!B23&lt;&gt;"",$B3,"")</f>
        <v>208</v>
      </c>
      <c r="D16" s="42">
        <f>IF(Setup!B23&lt;&gt;"",Attendance_Mar!M39,"")</f>
        <v>157.55000000000001</v>
      </c>
      <c r="E16" s="41">
        <f>IF(Setup!B23&lt;&gt;"",Attendance_Mar!M40,"")</f>
        <v>0</v>
      </c>
      <c r="F16" s="43">
        <f>IFERROR(IF(Setup!B23&lt;&gt;"",B16/C16,""),"")</f>
        <v>120.19230769230769</v>
      </c>
      <c r="G16" s="42">
        <f>IF(Setup!B23&lt;&gt;"",MIN(D16,C16),"")</f>
        <v>157.55000000000001</v>
      </c>
      <c r="H16" s="42">
        <f>IF(Setup!B23&lt;&gt;"",MAX(D16-C16,0),"")</f>
        <v>0</v>
      </c>
      <c r="I16" s="16">
        <f>IF(Setup!B23&lt;&gt;"",F16*G16,"")</f>
        <v>18936.298076923078</v>
      </c>
      <c r="J16" s="16">
        <f>IF(Setup!B23&lt;&gt;"",F16*H16*$B4,"")</f>
        <v>0</v>
      </c>
      <c r="K16" s="16">
        <f>IF(Setup!B23&lt;&gt;"",IF(E16=0,$B5,0),"")</f>
        <v>0</v>
      </c>
      <c r="L16" s="44">
        <f>IF(Setup!B23&lt;&gt;"",I16+J16+K16,"")</f>
        <v>18936.298076923078</v>
      </c>
      <c r="M16" s="16">
        <f>IF(Setup!B23&lt;&gt;"",Payroll_Feb!P16,"")</f>
        <v>0</v>
      </c>
      <c r="N16" s="46">
        <v>10000</v>
      </c>
      <c r="O16" s="46">
        <v>10000</v>
      </c>
      <c r="P16" s="44">
        <f>IF(Setup!B23&lt;&gt;"",M16+N16-O16,"")</f>
        <v>0</v>
      </c>
      <c r="Q16" s="46">
        <v>0</v>
      </c>
      <c r="R16" s="47">
        <f>IF(Setup!B23&lt;&gt;"",L16-O16-Q16,"")</f>
        <v>8936.298076923078</v>
      </c>
    </row>
    <row r="17" spans="1:18" ht="21.75" customHeight="1" x14ac:dyDescent="0.3">
      <c r="A17" s="18" t="str">
        <f>Setup!B24</f>
        <v>Usama bhai</v>
      </c>
      <c r="B17" s="48">
        <f>IF(Setup!B24&lt;&gt;"",Setup!C24,"")</f>
        <v>50000</v>
      </c>
      <c r="C17" s="49">
        <f>IF(Setup!B24&lt;&gt;"",$B3,"")</f>
        <v>208</v>
      </c>
      <c r="D17" s="50">
        <f>IF(Setup!B24&lt;&gt;"",Attendance_Mar!N39,"")</f>
        <v>208</v>
      </c>
      <c r="E17" s="49">
        <f>IF(Setup!B24&lt;&gt;"",Attendance_Mar!N40,"")</f>
        <v>0</v>
      </c>
      <c r="F17" s="51">
        <f>IFERROR(IF(Setup!B24&lt;&gt;"",B17/C17,""),"")</f>
        <v>240.38461538461539</v>
      </c>
      <c r="G17" s="50">
        <f>IF(Setup!B24&lt;&gt;"",MIN(D17,C17),"")</f>
        <v>208</v>
      </c>
      <c r="H17" s="50">
        <f>IF(Setup!B24&lt;&gt;"",MAX(D17-C17,0),"")</f>
        <v>0</v>
      </c>
      <c r="I17" s="19">
        <f>IF(Setup!B24&lt;&gt;"",F17*G17,"")</f>
        <v>50000</v>
      </c>
      <c r="J17" s="19">
        <f>IF(Setup!B24&lt;&gt;"",F17*H17*$B4,"")</f>
        <v>0</v>
      </c>
      <c r="K17" s="19">
        <f>IF(Setup!B24&lt;&gt;"",IF(E17=0,$B5,0),"")</f>
        <v>0</v>
      </c>
      <c r="L17" s="52">
        <f>IF(Setup!B24&lt;&gt;"",I17+J17+K17,"")</f>
        <v>50000</v>
      </c>
      <c r="M17" s="19">
        <f>IF(Setup!B24&lt;&gt;"",Payroll_Feb!P17,"")</f>
        <v>0</v>
      </c>
      <c r="N17" s="46">
        <v>0</v>
      </c>
      <c r="O17" s="46">
        <v>0</v>
      </c>
      <c r="P17" s="52">
        <f>IF(Setup!B24&lt;&gt;"",M17+N17-O17,"")</f>
        <v>0</v>
      </c>
      <c r="Q17" s="46">
        <v>0</v>
      </c>
      <c r="R17" s="47">
        <f>IF(Setup!B24&lt;&gt;"",L17-O17-Q17,"")</f>
        <v>50000</v>
      </c>
    </row>
    <row r="18" spans="1:18" ht="21.75" customHeight="1" x14ac:dyDescent="0.3">
      <c r="A18" s="1" t="str">
        <f>Setup!B25</f>
        <v>Ahtisham</v>
      </c>
      <c r="B18" s="40">
        <f>IF(Setup!B25&lt;&gt;"",Setup!C25,"")</f>
        <v>10000</v>
      </c>
      <c r="C18" s="41">
        <f>IF(Setup!B25&lt;&gt;"",$B3,"")</f>
        <v>208</v>
      </c>
      <c r="D18" s="42">
        <f>IF(Setup!B25&lt;&gt;"",Attendance_Mar!O39,"")</f>
        <v>208</v>
      </c>
      <c r="E18" s="41">
        <f>IF(Setup!B25&lt;&gt;"",Attendance_Mar!O40,"")</f>
        <v>0</v>
      </c>
      <c r="F18" s="43">
        <f>IFERROR(IF(Setup!B25&lt;&gt;"",B18/C18,""),"")</f>
        <v>48.07692307692308</v>
      </c>
      <c r="G18" s="42">
        <f>IF(Setup!B25&lt;&gt;"",MIN(D18,C18),"")</f>
        <v>208</v>
      </c>
      <c r="H18" s="42">
        <f>IF(Setup!B25&lt;&gt;"",MAX(D18-C18,0),"")</f>
        <v>0</v>
      </c>
      <c r="I18" s="16">
        <f>IF(Setup!B25&lt;&gt;"",F18*G18,"")</f>
        <v>10000</v>
      </c>
      <c r="J18" s="16">
        <f>IF(Setup!B25&lt;&gt;"",F18*H18*$B4,"")</f>
        <v>0</v>
      </c>
      <c r="K18" s="16">
        <f>IF(Setup!B25&lt;&gt;"",IF(E18=0,$B5,0),"")</f>
        <v>0</v>
      </c>
      <c r="L18" s="44">
        <f>IF(Setup!B25&lt;&gt;"",I18+J18+K18,"")</f>
        <v>10000</v>
      </c>
      <c r="M18" s="16">
        <f>IF(Setup!B25&lt;&gt;"",Payroll_Feb!P18,"")</f>
        <v>0</v>
      </c>
      <c r="N18" s="46">
        <v>0</v>
      </c>
      <c r="O18" s="46">
        <v>0</v>
      </c>
      <c r="P18" s="44">
        <f>IF(Setup!B25&lt;&gt;"",M18+N18-O18,"")</f>
        <v>0</v>
      </c>
      <c r="Q18" s="46">
        <v>0</v>
      </c>
      <c r="R18" s="47">
        <f>IF(Setup!B25&lt;&gt;"",L18-O18-Q18,"")</f>
        <v>10000</v>
      </c>
    </row>
    <row r="19" spans="1:18" ht="21.75" customHeight="1" x14ac:dyDescent="0.3">
      <c r="A19" s="18" t="str">
        <f>Setup!B26</f>
        <v>Factory rent</v>
      </c>
      <c r="B19" s="48">
        <f>IF(Setup!B26&lt;&gt;"",Setup!C26,"")</f>
        <v>77000</v>
      </c>
      <c r="C19" s="49">
        <f>IF(Setup!B26&lt;&gt;"",$B3,"")</f>
        <v>208</v>
      </c>
      <c r="D19" s="50">
        <f>IF(Setup!B26&lt;&gt;"",Attendance_Mar!P39,"")</f>
        <v>208</v>
      </c>
      <c r="E19" s="49">
        <f>IF(Setup!B26&lt;&gt;"",Attendance_Mar!P40,"")</f>
        <v>0</v>
      </c>
      <c r="F19" s="51">
        <f>IFERROR(IF(Setup!B26&lt;&gt;"",B19/C19,""),"")</f>
        <v>370.19230769230768</v>
      </c>
      <c r="G19" s="50">
        <f>IF(Setup!B26&lt;&gt;"",MIN(D19,C19),"")</f>
        <v>208</v>
      </c>
      <c r="H19" s="50">
        <f>IF(Setup!B26&lt;&gt;"",MAX(D19-C19,0),"")</f>
        <v>0</v>
      </c>
      <c r="I19" s="19">
        <f>IF(Setup!B26&lt;&gt;"",F19*G19,"")</f>
        <v>77000</v>
      </c>
      <c r="J19" s="19">
        <f>IF(Setup!B26&lt;&gt;"",F19*H19*$B4,"")</f>
        <v>0</v>
      </c>
      <c r="K19" s="19">
        <f>IF(Setup!B26&lt;&gt;"",IF(E19=0,$B5,0),"")</f>
        <v>0</v>
      </c>
      <c r="L19" s="52">
        <f>IF(Setup!B26&lt;&gt;"",I19+J19+K19,"")</f>
        <v>77000</v>
      </c>
      <c r="M19" s="19">
        <f>IF(Setup!B26&lt;&gt;"",Payroll_Feb!P19,"")</f>
        <v>0</v>
      </c>
      <c r="N19" s="46">
        <v>0</v>
      </c>
      <c r="O19" s="46">
        <v>0</v>
      </c>
      <c r="P19" s="52">
        <f>IF(Setup!B26&lt;&gt;"",M19+N19-O19,"")</f>
        <v>0</v>
      </c>
      <c r="Q19" s="46">
        <v>0</v>
      </c>
      <c r="R19" s="47">
        <f>IF(Setup!B26&lt;&gt;"",L19-O19-Q19,"")</f>
        <v>77000</v>
      </c>
    </row>
    <row r="20" spans="1:18" ht="21.75" customHeight="1" x14ac:dyDescent="0.3">
      <c r="A20" s="1" t="str">
        <f>Setup!B27</f>
        <v>Internet bill</v>
      </c>
      <c r="B20" s="40">
        <f>IF(Setup!B27&lt;&gt;"",Setup!C27,"")</f>
        <v>2500</v>
      </c>
      <c r="C20" s="41">
        <f>IF(Setup!B27&lt;&gt;"",$B3,"")</f>
        <v>208</v>
      </c>
      <c r="D20" s="42">
        <f>IF(Setup!B27&lt;&gt;"",Attendance_Mar!Q39,"")</f>
        <v>208</v>
      </c>
      <c r="E20" s="41">
        <f>IF(Setup!B27&lt;&gt;"",Attendance_Mar!Q40,"")</f>
        <v>0</v>
      </c>
      <c r="F20" s="43">
        <f>IFERROR(IF(Setup!B27&lt;&gt;"",B20/C20,""),"")</f>
        <v>12.01923076923077</v>
      </c>
      <c r="G20" s="42">
        <f>IF(Setup!B27&lt;&gt;"",MIN(D20,C20),"")</f>
        <v>208</v>
      </c>
      <c r="H20" s="42">
        <f>IF(Setup!B27&lt;&gt;"",MAX(D20-C20,0),"")</f>
        <v>0</v>
      </c>
      <c r="I20" s="16">
        <f>IF(Setup!B27&lt;&gt;"",F20*G20,"")</f>
        <v>2500</v>
      </c>
      <c r="J20" s="16">
        <f>IF(Setup!B27&lt;&gt;"",F20*H20*$B4,"")</f>
        <v>0</v>
      </c>
      <c r="K20" s="16">
        <f>IF(Setup!B27&lt;&gt;"",IF(E20=0,$B5,0),"")</f>
        <v>0</v>
      </c>
      <c r="L20" s="44">
        <f>IF(Setup!B27&lt;&gt;"",I20+J20+K20,"")</f>
        <v>2500</v>
      </c>
      <c r="M20" s="16">
        <f>IF(Setup!B27&lt;&gt;"",Payroll_Feb!P20,"")</f>
        <v>0</v>
      </c>
      <c r="N20" s="46">
        <v>0</v>
      </c>
      <c r="O20" s="46">
        <v>0</v>
      </c>
      <c r="P20" s="44">
        <f>IF(Setup!B27&lt;&gt;"",M20+N20-O20,"")</f>
        <v>0</v>
      </c>
      <c r="Q20" s="46">
        <v>0</v>
      </c>
      <c r="R20" s="47">
        <f>IF(Setup!B27&lt;&gt;"",L20-O20-Q20,"")</f>
        <v>2500</v>
      </c>
    </row>
    <row r="21" spans="1:18" ht="21.75" customHeight="1" x14ac:dyDescent="0.3">
      <c r="A21" s="18" t="str">
        <f>Setup!B28</f>
        <v>Saqab</v>
      </c>
      <c r="B21" s="48">
        <f>IF(Setup!B28&lt;&gt;"",Setup!C28,"")</f>
        <v>25000</v>
      </c>
      <c r="C21" s="49">
        <f>IF(Setup!B28&lt;&gt;"",$B3,"")</f>
        <v>208</v>
      </c>
      <c r="D21" s="50">
        <f>IF(Setup!B28&lt;&gt;"",Attendance_Mar!R39,"")</f>
        <v>0</v>
      </c>
      <c r="E21" s="49">
        <f>IF(Setup!B28&lt;&gt;"",Attendance_Mar!R40,"")</f>
        <v>0</v>
      </c>
      <c r="F21" s="51">
        <f>IFERROR(IF(Setup!B28&lt;&gt;"",B21/C21,""),"")</f>
        <v>120.19230769230769</v>
      </c>
      <c r="G21" s="50">
        <f>IF(Setup!B28&lt;&gt;"",MIN(D21,C21),"")</f>
        <v>0</v>
      </c>
      <c r="H21" s="50">
        <f>IF(Setup!B28&lt;&gt;"",MAX(D21-C21,0),"")</f>
        <v>0</v>
      </c>
      <c r="I21" s="19">
        <f>IF(Setup!B28&lt;&gt;"",F21*G21,"")</f>
        <v>0</v>
      </c>
      <c r="J21" s="19">
        <f>IF(Setup!B28&lt;&gt;"",F21*H21*$B4,"")</f>
        <v>0</v>
      </c>
      <c r="K21" s="19">
        <f>IF(Setup!B28&lt;&gt;"",IF(E21=0,$B5,0),"")</f>
        <v>0</v>
      </c>
      <c r="L21" s="52">
        <f>IF(Setup!B28&lt;&gt;"",I21+J21+K21,"")</f>
        <v>0</v>
      </c>
      <c r="M21" s="19">
        <f>IF(Setup!B28&lt;&gt;"",Payroll_Feb!P21,"")</f>
        <v>0</v>
      </c>
      <c r="N21" s="46">
        <v>0</v>
      </c>
      <c r="O21" s="46">
        <v>0</v>
      </c>
      <c r="P21" s="52">
        <f>IF(Setup!B28&lt;&gt;"",M21+N21-O21,"")</f>
        <v>0</v>
      </c>
      <c r="Q21" s="46">
        <v>0</v>
      </c>
      <c r="R21" s="47">
        <f>IF(Setup!B28&lt;&gt;"",L21-O21-Q21,"")</f>
        <v>0</v>
      </c>
    </row>
    <row r="22" spans="1:18" ht="21.75" customHeight="1" x14ac:dyDescent="0.3">
      <c r="A22" s="1">
        <f>Setup!B29</f>
        <v>0</v>
      </c>
      <c r="B22" s="40" t="str">
        <f>IF(Setup!B29&lt;&gt;"",Setup!C29,"")</f>
        <v/>
      </c>
      <c r="C22" s="41" t="str">
        <f>IF(Setup!B29&lt;&gt;"",$B3,"")</f>
        <v/>
      </c>
      <c r="D22" s="42" t="str">
        <f>IF(Setup!B29&lt;&gt;"",Attendance_Mar!S39,"")</f>
        <v/>
      </c>
      <c r="E22" s="41" t="str">
        <f>IF(Setup!B29&lt;&gt;"",Attendance_Mar!S40,"")</f>
        <v/>
      </c>
      <c r="F22" s="43" t="str">
        <f>IFERROR(IF(Setup!B29&lt;&gt;"",B22/C22,""),"")</f>
        <v/>
      </c>
      <c r="G22" s="42" t="str">
        <f>IF(Setup!B29&lt;&gt;"",MIN(D22,C22),"")</f>
        <v/>
      </c>
      <c r="H22" s="42" t="str">
        <f>IF(Setup!B29&lt;&gt;"",MAX(D22-C22,0),"")</f>
        <v/>
      </c>
      <c r="I22" s="16" t="str">
        <f>IF(Setup!B29&lt;&gt;"",F22*G22,"")</f>
        <v/>
      </c>
      <c r="J22" s="16" t="str">
        <f>IF(Setup!B29&lt;&gt;"",F22*H22*$B4,"")</f>
        <v/>
      </c>
      <c r="K22" s="16" t="str">
        <f>IF(Setup!B29&lt;&gt;"",IF(E22=0,$B5,0),"")</f>
        <v/>
      </c>
      <c r="L22" s="44" t="str">
        <f>IF(Setup!B29&lt;&gt;"",I22+J22+K22,"")</f>
        <v/>
      </c>
      <c r="M22" s="16" t="str">
        <f>IF(Setup!B29&lt;&gt;"",Payroll_Feb!P22,"")</f>
        <v/>
      </c>
      <c r="N22" s="46">
        <v>0</v>
      </c>
      <c r="O22" s="46">
        <v>0</v>
      </c>
      <c r="P22" s="44" t="str">
        <f>IF(Setup!B29&lt;&gt;"",M22+N22-O22,"")</f>
        <v/>
      </c>
      <c r="Q22" s="46">
        <v>0</v>
      </c>
      <c r="R22" s="47" t="str">
        <f>IF(Setup!B29&lt;&gt;"",L22-O22-Q22,"")</f>
        <v/>
      </c>
    </row>
    <row r="23" spans="1:18" ht="21.75" customHeight="1" x14ac:dyDescent="0.3">
      <c r="A23" s="18">
        <f>Setup!B30</f>
        <v>0</v>
      </c>
      <c r="B23" s="48" t="str">
        <f>IF(Setup!B30&lt;&gt;"",Setup!C30,"")</f>
        <v/>
      </c>
      <c r="C23" s="49" t="str">
        <f>IF(Setup!B30&lt;&gt;"",$B3,"")</f>
        <v/>
      </c>
      <c r="D23" s="50" t="str">
        <f>IF(Setup!B30&lt;&gt;"",Attendance_Mar!T39,"")</f>
        <v/>
      </c>
      <c r="E23" s="49" t="str">
        <f>IF(Setup!B30&lt;&gt;"",Attendance_Mar!T40,"")</f>
        <v/>
      </c>
      <c r="F23" s="51" t="str">
        <f>IFERROR(IF(Setup!B30&lt;&gt;"",B23/C23,""),"")</f>
        <v/>
      </c>
      <c r="G23" s="50" t="str">
        <f>IF(Setup!B30&lt;&gt;"",MIN(D23,C23),"")</f>
        <v/>
      </c>
      <c r="H23" s="50" t="str">
        <f>IF(Setup!B30&lt;&gt;"",MAX(D23-C23,0),"")</f>
        <v/>
      </c>
      <c r="I23" s="19" t="str">
        <f>IF(Setup!B30&lt;&gt;"",F23*G23,"")</f>
        <v/>
      </c>
      <c r="J23" s="19" t="str">
        <f>IF(Setup!B30&lt;&gt;"",F23*H23*$B4,"")</f>
        <v/>
      </c>
      <c r="K23" s="19" t="str">
        <f>IF(Setup!B30&lt;&gt;"",IF(E23=0,$B5,0),"")</f>
        <v/>
      </c>
      <c r="L23" s="52" t="str">
        <f>IF(Setup!B30&lt;&gt;"",I23+J23+K23,"")</f>
        <v/>
      </c>
      <c r="M23" s="19" t="str">
        <f>IF(Setup!B30&lt;&gt;"",Payroll_Feb!P23,"")</f>
        <v/>
      </c>
      <c r="N23" s="46">
        <v>0</v>
      </c>
      <c r="O23" s="46">
        <v>0</v>
      </c>
      <c r="P23" s="52" t="str">
        <f>IF(Setup!B30&lt;&gt;"",M23+N23-O23,"")</f>
        <v/>
      </c>
      <c r="Q23" s="46">
        <v>0</v>
      </c>
      <c r="R23" s="47" t="str">
        <f>IF(Setup!B30&lt;&gt;"",L23-O23-Q23,"")</f>
        <v/>
      </c>
    </row>
    <row r="24" spans="1:18" ht="21.75" customHeight="1" x14ac:dyDescent="0.3">
      <c r="A24" s="1">
        <f>Setup!B31</f>
        <v>0</v>
      </c>
      <c r="B24" s="40" t="str">
        <f>IF(Setup!B31&lt;&gt;"",Setup!C31,"")</f>
        <v/>
      </c>
      <c r="C24" s="41" t="str">
        <f>IF(Setup!B31&lt;&gt;"",$B3,"")</f>
        <v/>
      </c>
      <c r="D24" s="42" t="str">
        <f>IF(Setup!B31&lt;&gt;"",Attendance_Mar!U39,"")</f>
        <v/>
      </c>
      <c r="E24" s="41" t="str">
        <f>IF(Setup!B31&lt;&gt;"",Attendance_Mar!U40,"")</f>
        <v/>
      </c>
      <c r="F24" s="43" t="str">
        <f>IFERROR(IF(Setup!B31&lt;&gt;"",B24/C24,""),"")</f>
        <v/>
      </c>
      <c r="G24" s="42" t="str">
        <f>IF(Setup!B31&lt;&gt;"",MIN(D24,C24),"")</f>
        <v/>
      </c>
      <c r="H24" s="42" t="str">
        <f>IF(Setup!B31&lt;&gt;"",MAX(D24-C24,0),"")</f>
        <v/>
      </c>
      <c r="I24" s="16" t="str">
        <f>IF(Setup!B31&lt;&gt;"",F24*G24,"")</f>
        <v/>
      </c>
      <c r="J24" s="16" t="str">
        <f>IF(Setup!B31&lt;&gt;"",F24*H24*$B4,"")</f>
        <v/>
      </c>
      <c r="K24" s="16" t="str">
        <f>IF(Setup!B31&lt;&gt;"",IF(E24=0,$B5,0),"")</f>
        <v/>
      </c>
      <c r="L24" s="44" t="str">
        <f>IF(Setup!B31&lt;&gt;"",I24+J24+K24,"")</f>
        <v/>
      </c>
      <c r="M24" s="16" t="str">
        <f>IF(Setup!B31&lt;&gt;"",Payroll_Feb!P24,"")</f>
        <v/>
      </c>
      <c r="N24" s="46">
        <v>0</v>
      </c>
      <c r="O24" s="46">
        <v>0</v>
      </c>
      <c r="P24" s="44" t="str">
        <f>IF(Setup!B31&lt;&gt;"",M24+N24-O24,"")</f>
        <v/>
      </c>
      <c r="Q24" s="46">
        <v>0</v>
      </c>
      <c r="R24" s="47" t="str">
        <f>IF(Setup!B31&lt;&gt;"",L24-O24-Q24,"")</f>
        <v/>
      </c>
    </row>
    <row r="25" spans="1:18" ht="21.75" customHeight="1" x14ac:dyDescent="0.3">
      <c r="A25" s="18">
        <f>Setup!B32</f>
        <v>0</v>
      </c>
      <c r="B25" s="48" t="str">
        <f>IF(Setup!B32&lt;&gt;"",Setup!C32,"")</f>
        <v/>
      </c>
      <c r="C25" s="49" t="str">
        <f>IF(Setup!B32&lt;&gt;"",$B3,"")</f>
        <v/>
      </c>
      <c r="D25" s="50" t="str">
        <f>IF(Setup!B32&lt;&gt;"",Attendance_Mar!V39,"")</f>
        <v/>
      </c>
      <c r="E25" s="49" t="str">
        <f>IF(Setup!B32&lt;&gt;"",Attendance_Mar!V40,"")</f>
        <v/>
      </c>
      <c r="F25" s="51" t="str">
        <f>IFERROR(IF(Setup!B32&lt;&gt;"",B25/C25,""),"")</f>
        <v/>
      </c>
      <c r="G25" s="50" t="str">
        <f>IF(Setup!B32&lt;&gt;"",MIN(D25,C25),"")</f>
        <v/>
      </c>
      <c r="H25" s="50" t="str">
        <f>IF(Setup!B32&lt;&gt;"",MAX(D25-C25,0),"")</f>
        <v/>
      </c>
      <c r="I25" s="19" t="str">
        <f>IF(Setup!B32&lt;&gt;"",F25*G25,"")</f>
        <v/>
      </c>
      <c r="J25" s="19" t="str">
        <f>IF(Setup!B32&lt;&gt;"",F25*H25*$B4,"")</f>
        <v/>
      </c>
      <c r="K25" s="19" t="str">
        <f>IF(Setup!B32&lt;&gt;"",IF(E25=0,$B5,0),"")</f>
        <v/>
      </c>
      <c r="L25" s="52" t="str">
        <f>IF(Setup!B32&lt;&gt;"",I25+J25+K25,"")</f>
        <v/>
      </c>
      <c r="M25" s="19" t="str">
        <f>IF(Setup!B32&lt;&gt;"",Payroll_Feb!P25,"")</f>
        <v/>
      </c>
      <c r="N25" s="46">
        <v>0</v>
      </c>
      <c r="O25" s="46">
        <v>0</v>
      </c>
      <c r="P25" s="52" t="str">
        <f>IF(Setup!B32&lt;&gt;"",M25+N25-O25,"")</f>
        <v/>
      </c>
      <c r="Q25" s="46">
        <v>0</v>
      </c>
      <c r="R25" s="47" t="str">
        <f>IF(Setup!B32&lt;&gt;"",L25-O25-Q25,"")</f>
        <v/>
      </c>
    </row>
    <row r="26" spans="1:18" ht="21.75" customHeight="1" x14ac:dyDescent="0.3">
      <c r="A26" s="1">
        <f>Setup!B33</f>
        <v>0</v>
      </c>
      <c r="B26" s="40" t="str">
        <f>IF(Setup!B33&lt;&gt;"",Setup!C33,"")</f>
        <v/>
      </c>
      <c r="C26" s="41" t="str">
        <f>IF(Setup!B33&lt;&gt;"",$B3,"")</f>
        <v/>
      </c>
      <c r="D26" s="42" t="str">
        <f>IF(Setup!B33&lt;&gt;"",Attendance_Mar!W39,"")</f>
        <v/>
      </c>
      <c r="E26" s="41" t="str">
        <f>IF(Setup!B33&lt;&gt;"",Attendance_Mar!W40,"")</f>
        <v/>
      </c>
      <c r="F26" s="43" t="str">
        <f>IFERROR(IF(Setup!B33&lt;&gt;"",B26/C26,""),"")</f>
        <v/>
      </c>
      <c r="G26" s="42" t="str">
        <f>IF(Setup!B33&lt;&gt;"",MIN(D26,C26),"")</f>
        <v/>
      </c>
      <c r="H26" s="42" t="str">
        <f>IF(Setup!B33&lt;&gt;"",MAX(D26-C26,0),"")</f>
        <v/>
      </c>
      <c r="I26" s="16" t="str">
        <f>IF(Setup!B33&lt;&gt;"",F26*G26,"")</f>
        <v/>
      </c>
      <c r="J26" s="16" t="str">
        <f>IF(Setup!B33&lt;&gt;"",F26*H26*$B4,"")</f>
        <v/>
      </c>
      <c r="K26" s="16" t="str">
        <f>IF(Setup!B33&lt;&gt;"",IF(E26=0,$B5,0),"")</f>
        <v/>
      </c>
      <c r="L26" s="44" t="str">
        <f>IF(Setup!B33&lt;&gt;"",I26+J26+K26,"")</f>
        <v/>
      </c>
      <c r="M26" s="16" t="str">
        <f>IF(Setup!B33&lt;&gt;"",Payroll_Feb!P26,"")</f>
        <v/>
      </c>
      <c r="N26" s="46">
        <v>0</v>
      </c>
      <c r="O26" s="46">
        <v>0</v>
      </c>
      <c r="P26" s="44" t="str">
        <f>IF(Setup!B33&lt;&gt;"",M26+N26-O26,"")</f>
        <v/>
      </c>
      <c r="Q26" s="46">
        <v>0</v>
      </c>
      <c r="R26" s="47" t="str">
        <f>IF(Setup!B33&lt;&gt;"",L26-O26-Q26,"")</f>
        <v/>
      </c>
    </row>
    <row r="27" spans="1:18" ht="21.75" customHeight="1" x14ac:dyDescent="0.3">
      <c r="A27" s="18">
        <f>Setup!B34</f>
        <v>0</v>
      </c>
      <c r="B27" s="48" t="str">
        <f>IF(Setup!B34&lt;&gt;"",Setup!C34,"")</f>
        <v/>
      </c>
      <c r="C27" s="49" t="str">
        <f>IF(Setup!B34&lt;&gt;"",$B3,"")</f>
        <v/>
      </c>
      <c r="D27" s="50" t="str">
        <f>IF(Setup!B34&lt;&gt;"",Attendance_Mar!X39,"")</f>
        <v/>
      </c>
      <c r="E27" s="49" t="str">
        <f>IF(Setup!B34&lt;&gt;"",Attendance_Mar!X40,"")</f>
        <v/>
      </c>
      <c r="F27" s="51" t="str">
        <f>IFERROR(IF(Setup!B34&lt;&gt;"",B27/C27,""),"")</f>
        <v/>
      </c>
      <c r="G27" s="50" t="str">
        <f>IF(Setup!B34&lt;&gt;"",MIN(D27,C27),"")</f>
        <v/>
      </c>
      <c r="H27" s="50" t="str">
        <f>IF(Setup!B34&lt;&gt;"",MAX(D27-C27,0),"")</f>
        <v/>
      </c>
      <c r="I27" s="19" t="str">
        <f>IF(Setup!B34&lt;&gt;"",F27*G27,"")</f>
        <v/>
      </c>
      <c r="J27" s="19" t="str">
        <f>IF(Setup!B34&lt;&gt;"",F27*H27*$B4,"")</f>
        <v/>
      </c>
      <c r="K27" s="19" t="str">
        <f>IF(Setup!B34&lt;&gt;"",IF(E27=0,$B5,0),"")</f>
        <v/>
      </c>
      <c r="L27" s="52" t="str">
        <f>IF(Setup!B34&lt;&gt;"",I27+J27+K27,"")</f>
        <v/>
      </c>
      <c r="M27" s="19" t="str">
        <f>IF(Setup!B34&lt;&gt;"",Payroll_Feb!P27,"")</f>
        <v/>
      </c>
      <c r="N27" s="46">
        <v>0</v>
      </c>
      <c r="O27" s="46">
        <v>0</v>
      </c>
      <c r="P27" s="52" t="str">
        <f>IF(Setup!B34&lt;&gt;"",M27+N27-O27,"")</f>
        <v/>
      </c>
      <c r="Q27" s="46">
        <v>0</v>
      </c>
      <c r="R27" s="47" t="str">
        <f>IF(Setup!B34&lt;&gt;"",L27-O27-Q27,"")</f>
        <v/>
      </c>
    </row>
    <row r="28" spans="1:18" ht="21.75" customHeight="1" x14ac:dyDescent="0.3">
      <c r="A28" s="1">
        <f>Setup!B35</f>
        <v>0</v>
      </c>
      <c r="B28" s="40" t="str">
        <f>IF(Setup!B35&lt;&gt;"",Setup!C35,"")</f>
        <v/>
      </c>
      <c r="C28" s="41" t="str">
        <f>IF(Setup!B35&lt;&gt;"",$B3,"")</f>
        <v/>
      </c>
      <c r="D28" s="42" t="str">
        <f>IF(Setup!B35&lt;&gt;"",Attendance_Mar!Y39,"")</f>
        <v/>
      </c>
      <c r="E28" s="41" t="str">
        <f>IF(Setup!B35&lt;&gt;"",Attendance_Mar!Y40,"")</f>
        <v/>
      </c>
      <c r="F28" s="43" t="str">
        <f>IFERROR(IF(Setup!B35&lt;&gt;"",B28/C28,""),"")</f>
        <v/>
      </c>
      <c r="G28" s="42" t="str">
        <f>IF(Setup!B35&lt;&gt;"",MIN(D28,C28),"")</f>
        <v/>
      </c>
      <c r="H28" s="42" t="str">
        <f>IF(Setup!B35&lt;&gt;"",MAX(D28-C28,0),"")</f>
        <v/>
      </c>
      <c r="I28" s="16" t="str">
        <f>IF(Setup!B35&lt;&gt;"",F28*G28,"")</f>
        <v/>
      </c>
      <c r="J28" s="16" t="str">
        <f>IF(Setup!B35&lt;&gt;"",F28*H28*$B4,"")</f>
        <v/>
      </c>
      <c r="K28" s="16" t="str">
        <f>IF(Setup!B35&lt;&gt;"",IF(E28=0,$B5,0),"")</f>
        <v/>
      </c>
      <c r="L28" s="44" t="str">
        <f>IF(Setup!B35&lt;&gt;"",I28+J28+K28,"")</f>
        <v/>
      </c>
      <c r="M28" s="16" t="str">
        <f>IF(Setup!B35&lt;&gt;"",Payroll_Feb!P28,"")</f>
        <v/>
      </c>
      <c r="N28" s="46">
        <v>0</v>
      </c>
      <c r="O28" s="46">
        <v>0</v>
      </c>
      <c r="P28" s="44" t="str">
        <f>IF(Setup!B35&lt;&gt;"",M28+N28-O28,"")</f>
        <v/>
      </c>
      <c r="Q28" s="46">
        <v>0</v>
      </c>
      <c r="R28" s="47" t="str">
        <f>IF(Setup!B35&lt;&gt;"",L28-O28-Q28,"")</f>
        <v/>
      </c>
    </row>
    <row r="29" spans="1:18" ht="21.75" customHeight="1" x14ac:dyDescent="0.3">
      <c r="A29" s="18">
        <f>Setup!B36</f>
        <v>0</v>
      </c>
      <c r="B29" s="48" t="str">
        <f>IF(Setup!B36&lt;&gt;"",Setup!C36,"")</f>
        <v/>
      </c>
      <c r="C29" s="49" t="str">
        <f>IF(Setup!B36&lt;&gt;"",$B3,"")</f>
        <v/>
      </c>
      <c r="D29" s="50" t="str">
        <f>IF(Setup!B36&lt;&gt;"",Attendance_Mar!Z39,"")</f>
        <v/>
      </c>
      <c r="E29" s="49" t="str">
        <f>IF(Setup!B36&lt;&gt;"",Attendance_Mar!Z40,"")</f>
        <v/>
      </c>
      <c r="F29" s="51" t="str">
        <f>IFERROR(IF(Setup!B36&lt;&gt;"",B29/C29,""),"")</f>
        <v/>
      </c>
      <c r="G29" s="50" t="str">
        <f>IF(Setup!B36&lt;&gt;"",MIN(D29,C29),"")</f>
        <v/>
      </c>
      <c r="H29" s="50" t="str">
        <f>IF(Setup!B36&lt;&gt;"",MAX(D29-C29,0),"")</f>
        <v/>
      </c>
      <c r="I29" s="19" t="str">
        <f>IF(Setup!B36&lt;&gt;"",F29*G29,"")</f>
        <v/>
      </c>
      <c r="J29" s="19" t="str">
        <f>IF(Setup!B36&lt;&gt;"",F29*H29*$B4,"")</f>
        <v/>
      </c>
      <c r="K29" s="19" t="str">
        <f>IF(Setup!B36&lt;&gt;"",IF(E29=0,$B5,0),"")</f>
        <v/>
      </c>
      <c r="L29" s="52" t="str">
        <f>IF(Setup!B36&lt;&gt;"",I29+J29+K29,"")</f>
        <v/>
      </c>
      <c r="M29" s="19" t="str">
        <f>IF(Setup!B36&lt;&gt;"",Payroll_Feb!P29,"")</f>
        <v/>
      </c>
      <c r="N29" s="46">
        <v>0</v>
      </c>
      <c r="O29" s="46">
        <v>0</v>
      </c>
      <c r="P29" s="52" t="str">
        <f>IF(Setup!B36&lt;&gt;"",M29+N29-O29,"")</f>
        <v/>
      </c>
      <c r="Q29" s="46">
        <v>0</v>
      </c>
      <c r="R29" s="47" t="str">
        <f>IF(Setup!B36&lt;&gt;"",L29-O29-Q29,"")</f>
        <v/>
      </c>
    </row>
    <row r="30" spans="1:18" ht="21.75" customHeight="1" x14ac:dyDescent="0.3">
      <c r="A30" s="1">
        <f>Setup!B37</f>
        <v>0</v>
      </c>
      <c r="B30" s="40" t="str">
        <f>IF(Setup!B37&lt;&gt;"",Setup!C37,"")</f>
        <v/>
      </c>
      <c r="C30" s="41" t="str">
        <f>IF(Setup!B37&lt;&gt;"",$B3,"")</f>
        <v/>
      </c>
      <c r="D30" s="42" t="str">
        <f>IF(Setup!B37&lt;&gt;"",Attendance_Mar!AA39,"")</f>
        <v/>
      </c>
      <c r="E30" s="41" t="str">
        <f>IF(Setup!B37&lt;&gt;"",Attendance_Mar!AA40,"")</f>
        <v/>
      </c>
      <c r="F30" s="43" t="str">
        <f>IFERROR(IF(Setup!B37&lt;&gt;"",B30/C30,""),"")</f>
        <v/>
      </c>
      <c r="G30" s="42" t="str">
        <f>IF(Setup!B37&lt;&gt;"",MIN(D30,C30),"")</f>
        <v/>
      </c>
      <c r="H30" s="42" t="str">
        <f>IF(Setup!B37&lt;&gt;"",MAX(D30-C30,0),"")</f>
        <v/>
      </c>
      <c r="I30" s="16" t="str">
        <f>IF(Setup!B37&lt;&gt;"",F30*G30,"")</f>
        <v/>
      </c>
      <c r="J30" s="16" t="str">
        <f>IF(Setup!B37&lt;&gt;"",F30*H30*$B4,"")</f>
        <v/>
      </c>
      <c r="K30" s="16" t="str">
        <f>IF(Setup!B37&lt;&gt;"",IF(E30=0,$B5,0),"")</f>
        <v/>
      </c>
      <c r="L30" s="44" t="str">
        <f>IF(Setup!B37&lt;&gt;"",I30+J30+K30,"")</f>
        <v/>
      </c>
      <c r="M30" s="16" t="str">
        <f>IF(Setup!B37&lt;&gt;"",Payroll_Feb!P30,"")</f>
        <v/>
      </c>
      <c r="N30" s="46">
        <v>0</v>
      </c>
      <c r="O30" s="46">
        <v>0</v>
      </c>
      <c r="P30" s="44" t="str">
        <f>IF(Setup!B37&lt;&gt;"",M30+N30-O30,"")</f>
        <v/>
      </c>
      <c r="Q30" s="46">
        <v>0</v>
      </c>
      <c r="R30" s="47" t="str">
        <f>IF(Setup!B37&lt;&gt;"",L30-O30-Q30,"")</f>
        <v/>
      </c>
    </row>
    <row r="31" spans="1:18" ht="21.75" customHeight="1" x14ac:dyDescent="0.3">
      <c r="A31" s="18">
        <f>Setup!B38</f>
        <v>0</v>
      </c>
      <c r="B31" s="48" t="str">
        <f>IF(Setup!B38&lt;&gt;"",Setup!C38,"")</f>
        <v/>
      </c>
      <c r="C31" s="49" t="str">
        <f>IF(Setup!B38&lt;&gt;"",$B3,"")</f>
        <v/>
      </c>
      <c r="D31" s="50" t="str">
        <f>IF(Setup!B38&lt;&gt;"",Attendance_Mar!AB39,"")</f>
        <v/>
      </c>
      <c r="E31" s="49" t="str">
        <f>IF(Setup!B38&lt;&gt;"",Attendance_Mar!AB40,"")</f>
        <v/>
      </c>
      <c r="F31" s="51" t="str">
        <f>IFERROR(IF(Setup!B38&lt;&gt;"",B31/C31,""),"")</f>
        <v/>
      </c>
      <c r="G31" s="50" t="str">
        <f>IF(Setup!B38&lt;&gt;"",MIN(D31,C31),"")</f>
        <v/>
      </c>
      <c r="H31" s="50" t="str">
        <f>IF(Setup!B38&lt;&gt;"",MAX(D31-C31,0),"")</f>
        <v/>
      </c>
      <c r="I31" s="19" t="str">
        <f>IF(Setup!B38&lt;&gt;"",F31*G31,"")</f>
        <v/>
      </c>
      <c r="J31" s="19" t="str">
        <f>IF(Setup!B38&lt;&gt;"",F31*H31*$B4,"")</f>
        <v/>
      </c>
      <c r="K31" s="19" t="str">
        <f>IF(Setup!B38&lt;&gt;"",IF(E31=0,$B5,0),"")</f>
        <v/>
      </c>
      <c r="L31" s="52" t="str">
        <f>IF(Setup!B38&lt;&gt;"",I31+J31+K31,"")</f>
        <v/>
      </c>
      <c r="M31" s="19" t="str">
        <f>IF(Setup!B38&lt;&gt;"",Payroll_Feb!P31,"")</f>
        <v/>
      </c>
      <c r="N31" s="46">
        <v>0</v>
      </c>
      <c r="O31" s="46">
        <v>0</v>
      </c>
      <c r="P31" s="52" t="str">
        <f>IF(Setup!B38&lt;&gt;"",M31+N31-O31,"")</f>
        <v/>
      </c>
      <c r="Q31" s="46">
        <v>0</v>
      </c>
      <c r="R31" s="47" t="str">
        <f>IF(Setup!B38&lt;&gt;"",L31-O31-Q31,"")</f>
        <v/>
      </c>
    </row>
    <row r="32" spans="1:18" ht="21.75" customHeight="1" x14ac:dyDescent="0.3">
      <c r="A32" s="1">
        <f>Setup!B39</f>
        <v>0</v>
      </c>
      <c r="B32" s="40" t="str">
        <f>IF(Setup!B39&lt;&gt;"",Setup!C39,"")</f>
        <v/>
      </c>
      <c r="C32" s="41" t="str">
        <f>IF(Setup!B39&lt;&gt;"",$B3,"")</f>
        <v/>
      </c>
      <c r="D32" s="42" t="str">
        <f>IF(Setup!B39&lt;&gt;"",Attendance_Mar!AC39,"")</f>
        <v/>
      </c>
      <c r="E32" s="41" t="str">
        <f>IF(Setup!B39&lt;&gt;"",Attendance_Mar!AC40,"")</f>
        <v/>
      </c>
      <c r="F32" s="43" t="str">
        <f>IFERROR(IF(Setup!B39&lt;&gt;"",B32/C32,""),"")</f>
        <v/>
      </c>
      <c r="G32" s="42" t="str">
        <f>IF(Setup!B39&lt;&gt;"",MIN(D32,C32),"")</f>
        <v/>
      </c>
      <c r="H32" s="42" t="str">
        <f>IF(Setup!B39&lt;&gt;"",MAX(D32-C32,0),"")</f>
        <v/>
      </c>
      <c r="I32" s="16" t="str">
        <f>IF(Setup!B39&lt;&gt;"",F32*G32,"")</f>
        <v/>
      </c>
      <c r="J32" s="16" t="str">
        <f>IF(Setup!B39&lt;&gt;"",F32*H32*$B4,"")</f>
        <v/>
      </c>
      <c r="K32" s="16" t="str">
        <f>IF(Setup!B39&lt;&gt;"",IF(E32=0,$B5,0),"")</f>
        <v/>
      </c>
      <c r="L32" s="44" t="str">
        <f>IF(Setup!B39&lt;&gt;"",I32+J32+K32,"")</f>
        <v/>
      </c>
      <c r="M32" s="16" t="str">
        <f>IF(Setup!B39&lt;&gt;"",Payroll_Feb!P32,"")</f>
        <v/>
      </c>
      <c r="N32" s="46">
        <v>0</v>
      </c>
      <c r="O32" s="46">
        <v>0</v>
      </c>
      <c r="P32" s="44" t="str">
        <f>IF(Setup!B39&lt;&gt;"",M32+N32-O32,"")</f>
        <v/>
      </c>
      <c r="Q32" s="46">
        <v>0</v>
      </c>
      <c r="R32" s="47" t="str">
        <f>IF(Setup!B39&lt;&gt;"",L32-O32-Q32,"")</f>
        <v/>
      </c>
    </row>
    <row r="33" spans="1:18" ht="21.75" customHeight="1" x14ac:dyDescent="0.3">
      <c r="A33" s="18">
        <f>Setup!B40</f>
        <v>0</v>
      </c>
      <c r="B33" s="48" t="str">
        <f>IF(Setup!B40&lt;&gt;"",Setup!C40,"")</f>
        <v/>
      </c>
      <c r="C33" s="49" t="str">
        <f>IF(Setup!B40&lt;&gt;"",$B3,"")</f>
        <v/>
      </c>
      <c r="D33" s="50" t="str">
        <f>IF(Setup!B40&lt;&gt;"",Attendance_Mar!AD39,"")</f>
        <v/>
      </c>
      <c r="E33" s="49" t="str">
        <f>IF(Setup!B40&lt;&gt;"",Attendance_Mar!AD40,"")</f>
        <v/>
      </c>
      <c r="F33" s="51" t="str">
        <f>IFERROR(IF(Setup!B40&lt;&gt;"",B33/C33,""),"")</f>
        <v/>
      </c>
      <c r="G33" s="50" t="str">
        <f>IF(Setup!B40&lt;&gt;"",MIN(D33,C33),"")</f>
        <v/>
      </c>
      <c r="H33" s="50" t="str">
        <f>IF(Setup!B40&lt;&gt;"",MAX(D33-C33,0),"")</f>
        <v/>
      </c>
      <c r="I33" s="19" t="str">
        <f>IF(Setup!B40&lt;&gt;"",F33*G33,"")</f>
        <v/>
      </c>
      <c r="J33" s="19" t="str">
        <f>IF(Setup!B40&lt;&gt;"",F33*H33*$B4,"")</f>
        <v/>
      </c>
      <c r="K33" s="19" t="str">
        <f>IF(Setup!B40&lt;&gt;"",IF(E33=0,$B5,0),"")</f>
        <v/>
      </c>
      <c r="L33" s="52" t="str">
        <f>IF(Setup!B40&lt;&gt;"",I33+J33+K33,"")</f>
        <v/>
      </c>
      <c r="M33" s="19" t="str">
        <f>IF(Setup!B40&lt;&gt;"",Payroll_Feb!P33,"")</f>
        <v/>
      </c>
      <c r="N33" s="46">
        <v>0</v>
      </c>
      <c r="O33" s="46">
        <v>0</v>
      </c>
      <c r="P33" s="52" t="str">
        <f>IF(Setup!B40&lt;&gt;"",M33+N33-O33,"")</f>
        <v/>
      </c>
      <c r="Q33" s="46">
        <v>0</v>
      </c>
      <c r="R33" s="47" t="str">
        <f>IF(Setup!B40&lt;&gt;"",L33-O33-Q33,"")</f>
        <v/>
      </c>
    </row>
    <row r="34" spans="1:18" ht="21.75" customHeight="1" x14ac:dyDescent="0.3">
      <c r="A34" s="1">
        <f>Setup!B41</f>
        <v>0</v>
      </c>
      <c r="B34" s="40" t="str">
        <f>IF(Setup!B41&lt;&gt;"",Setup!C41,"")</f>
        <v/>
      </c>
      <c r="C34" s="41" t="str">
        <f>IF(Setup!B41&lt;&gt;"",$B3,"")</f>
        <v/>
      </c>
      <c r="D34" s="42" t="str">
        <f>IF(Setup!B41&lt;&gt;"",Attendance_Mar!AE39,"")</f>
        <v/>
      </c>
      <c r="E34" s="41" t="str">
        <f>IF(Setup!B41&lt;&gt;"",Attendance_Mar!AE40,"")</f>
        <v/>
      </c>
      <c r="F34" s="43" t="str">
        <f>IFERROR(IF(Setup!B41&lt;&gt;"",B34/C34,""),"")</f>
        <v/>
      </c>
      <c r="G34" s="42" t="str">
        <f>IF(Setup!B41&lt;&gt;"",MIN(D34,C34),"")</f>
        <v/>
      </c>
      <c r="H34" s="42" t="str">
        <f>IF(Setup!B41&lt;&gt;"",MAX(D34-C34,0),"")</f>
        <v/>
      </c>
      <c r="I34" s="16" t="str">
        <f>IF(Setup!B41&lt;&gt;"",F34*G34,"")</f>
        <v/>
      </c>
      <c r="J34" s="16" t="str">
        <f>IF(Setup!B41&lt;&gt;"",F34*H34*$B4,"")</f>
        <v/>
      </c>
      <c r="K34" s="16" t="str">
        <f>IF(Setup!B41&lt;&gt;"",IF(E34=0,$B5,0),"")</f>
        <v/>
      </c>
      <c r="L34" s="44" t="str">
        <f>IF(Setup!B41&lt;&gt;"",I34+J34+K34,"")</f>
        <v/>
      </c>
      <c r="M34" s="16" t="str">
        <f>IF(Setup!B41&lt;&gt;"",Payroll_Feb!P34,"")</f>
        <v/>
      </c>
      <c r="N34" s="46">
        <v>0</v>
      </c>
      <c r="O34" s="46">
        <v>0</v>
      </c>
      <c r="P34" s="44" t="str">
        <f>IF(Setup!B41&lt;&gt;"",M34+N34-O34,"")</f>
        <v/>
      </c>
      <c r="Q34" s="46">
        <v>0</v>
      </c>
      <c r="R34" s="47" t="str">
        <f>IF(Setup!B41&lt;&gt;"",L34-O34-Q34,"")</f>
        <v/>
      </c>
    </row>
    <row r="35" spans="1:18" ht="21.75" customHeight="1" x14ac:dyDescent="0.3">
      <c r="A35" s="18">
        <f>Setup!B42</f>
        <v>0</v>
      </c>
      <c r="B35" s="48" t="str">
        <f>IF(Setup!B42&lt;&gt;"",Setup!C42,"")</f>
        <v/>
      </c>
      <c r="C35" s="49" t="str">
        <f>IF(Setup!B42&lt;&gt;"",$B3,"")</f>
        <v/>
      </c>
      <c r="D35" s="50" t="str">
        <f>IF(Setup!B42&lt;&gt;"",Attendance_Mar!AF39,"")</f>
        <v/>
      </c>
      <c r="E35" s="49" t="str">
        <f>IF(Setup!B42&lt;&gt;"",Attendance_Mar!AF40,"")</f>
        <v/>
      </c>
      <c r="F35" s="51" t="str">
        <f>IFERROR(IF(Setup!B42&lt;&gt;"",B35/C35,""),"")</f>
        <v/>
      </c>
      <c r="G35" s="50" t="str">
        <f>IF(Setup!B42&lt;&gt;"",MIN(D35,C35),"")</f>
        <v/>
      </c>
      <c r="H35" s="50" t="str">
        <f>IF(Setup!B42&lt;&gt;"",MAX(D35-C35,0),"")</f>
        <v/>
      </c>
      <c r="I35" s="19" t="str">
        <f>IF(Setup!B42&lt;&gt;"",F35*G35,"")</f>
        <v/>
      </c>
      <c r="J35" s="19" t="str">
        <f>IF(Setup!B42&lt;&gt;"",F35*H35*$B4,"")</f>
        <v/>
      </c>
      <c r="K35" s="19" t="str">
        <f>IF(Setup!B42&lt;&gt;"",IF(E35=0,$B5,0),"")</f>
        <v/>
      </c>
      <c r="L35" s="52" t="str">
        <f>IF(Setup!B42&lt;&gt;"",I35+J35+K35,"")</f>
        <v/>
      </c>
      <c r="M35" s="19" t="str">
        <f>IF(Setup!B42&lt;&gt;"",Payroll_Feb!P35,"")</f>
        <v/>
      </c>
      <c r="N35" s="46">
        <v>0</v>
      </c>
      <c r="O35" s="46">
        <v>0</v>
      </c>
      <c r="P35" s="52" t="str">
        <f>IF(Setup!B42&lt;&gt;"",M35+N35-O35,"")</f>
        <v/>
      </c>
      <c r="Q35" s="46">
        <v>0</v>
      </c>
      <c r="R35" s="47" t="str">
        <f>IF(Setup!B42&lt;&gt;"",L35-O35-Q35,"")</f>
        <v/>
      </c>
    </row>
    <row r="36" spans="1:18" ht="21.75" customHeight="1" x14ac:dyDescent="0.3">
      <c r="A36" s="1">
        <f>Setup!B43</f>
        <v>0</v>
      </c>
      <c r="B36" s="40" t="str">
        <f>IF(Setup!B43&lt;&gt;"",Setup!C43,"")</f>
        <v/>
      </c>
      <c r="C36" s="41" t="str">
        <f>IF(Setup!B43&lt;&gt;"",$B3,"")</f>
        <v/>
      </c>
      <c r="D36" s="42" t="str">
        <f>IF(Setup!B43&lt;&gt;"",Attendance_Mar!AG39,"")</f>
        <v/>
      </c>
      <c r="E36" s="41" t="str">
        <f>IF(Setup!B43&lt;&gt;"",Attendance_Mar!AG40,"")</f>
        <v/>
      </c>
      <c r="F36" s="43" t="str">
        <f>IFERROR(IF(Setup!B43&lt;&gt;"",B36/C36,""),"")</f>
        <v/>
      </c>
      <c r="G36" s="42" t="str">
        <f>IF(Setup!B43&lt;&gt;"",MIN(D36,C36),"")</f>
        <v/>
      </c>
      <c r="H36" s="42" t="str">
        <f>IF(Setup!B43&lt;&gt;"",MAX(D36-C36,0),"")</f>
        <v/>
      </c>
      <c r="I36" s="16" t="str">
        <f>IF(Setup!B43&lt;&gt;"",F36*G36,"")</f>
        <v/>
      </c>
      <c r="J36" s="16" t="str">
        <f>IF(Setup!B43&lt;&gt;"",F36*H36*$B4,"")</f>
        <v/>
      </c>
      <c r="K36" s="16" t="str">
        <f>IF(Setup!B43&lt;&gt;"",IF(E36=0,$B5,0),"")</f>
        <v/>
      </c>
      <c r="L36" s="44" t="str">
        <f>IF(Setup!B43&lt;&gt;"",I36+J36+K36,"")</f>
        <v/>
      </c>
      <c r="M36" s="16" t="str">
        <f>IF(Setup!B43&lt;&gt;"",Payroll_Feb!P36,"")</f>
        <v/>
      </c>
      <c r="N36" s="46">
        <v>0</v>
      </c>
      <c r="O36" s="46">
        <v>0</v>
      </c>
      <c r="P36" s="44" t="str">
        <f>IF(Setup!B43&lt;&gt;"",M36+N36-O36,"")</f>
        <v/>
      </c>
      <c r="Q36" s="46">
        <v>0</v>
      </c>
      <c r="R36" s="47" t="str">
        <f>IF(Setup!B43&lt;&gt;"",L36-O36-Q36,"")</f>
        <v/>
      </c>
    </row>
    <row r="37" spans="1:18" ht="21.75" customHeight="1" x14ac:dyDescent="0.3">
      <c r="A37" s="18">
        <f>Setup!B44</f>
        <v>0</v>
      </c>
      <c r="B37" s="48" t="str">
        <f>IF(Setup!B44&lt;&gt;"",Setup!C44,"")</f>
        <v/>
      </c>
      <c r="C37" s="49" t="str">
        <f>IF(Setup!B44&lt;&gt;"",$B3,"")</f>
        <v/>
      </c>
      <c r="D37" s="50" t="str">
        <f>IF(Setup!B44&lt;&gt;"",Attendance_Mar!AH39,"")</f>
        <v/>
      </c>
      <c r="E37" s="49" t="str">
        <f>IF(Setup!B44&lt;&gt;"",Attendance_Mar!AH40,"")</f>
        <v/>
      </c>
      <c r="F37" s="51" t="str">
        <f>IFERROR(IF(Setup!B44&lt;&gt;"",B37/C37,""),"")</f>
        <v/>
      </c>
      <c r="G37" s="50" t="str">
        <f>IF(Setup!B44&lt;&gt;"",MIN(D37,C37),"")</f>
        <v/>
      </c>
      <c r="H37" s="50" t="str">
        <f>IF(Setup!B44&lt;&gt;"",MAX(D37-C37,0),"")</f>
        <v/>
      </c>
      <c r="I37" s="19" t="str">
        <f>IF(Setup!B44&lt;&gt;"",F37*G37,"")</f>
        <v/>
      </c>
      <c r="J37" s="19" t="str">
        <f>IF(Setup!B44&lt;&gt;"",F37*H37*$B4,"")</f>
        <v/>
      </c>
      <c r="K37" s="19" t="str">
        <f>IF(Setup!B44&lt;&gt;"",IF(E37=0,$B5,0),"")</f>
        <v/>
      </c>
      <c r="L37" s="52" t="str">
        <f>IF(Setup!B44&lt;&gt;"",I37+J37+K37,"")</f>
        <v/>
      </c>
      <c r="M37" s="19" t="str">
        <f>IF(Setup!B44&lt;&gt;"",Payroll_Feb!P37,"")</f>
        <v/>
      </c>
      <c r="N37" s="46">
        <v>0</v>
      </c>
      <c r="O37" s="46">
        <v>0</v>
      </c>
      <c r="P37" s="52" t="str">
        <f>IF(Setup!B44&lt;&gt;"",M37+N37-O37,"")</f>
        <v/>
      </c>
      <c r="Q37" s="46">
        <v>0</v>
      </c>
      <c r="R37" s="47" t="str">
        <f>IF(Setup!B44&lt;&gt;"",L37-O37-Q37,"")</f>
        <v/>
      </c>
    </row>
    <row r="38" spans="1:18" ht="25.5" customHeight="1" x14ac:dyDescent="0.3">
      <c r="A38" s="55" t="s">
        <v>113</v>
      </c>
      <c r="B38" s="55"/>
      <c r="C38" s="17">
        <f>SUM(C8:C37)</f>
        <v>2912</v>
      </c>
      <c r="D38" s="36">
        <f>SUM(D8:D37)</f>
        <v>2448.98</v>
      </c>
      <c r="E38" s="17">
        <f>SUM(E8:E37)</f>
        <v>0</v>
      </c>
      <c r="F38" s="17"/>
      <c r="G38" s="36">
        <f t="shared" ref="G38:R38" si="0">SUM(G8:G37)</f>
        <v>2448.98</v>
      </c>
      <c r="H38" s="36">
        <f t="shared" si="0"/>
        <v>0</v>
      </c>
      <c r="I38" s="17">
        <f t="shared" si="0"/>
        <v>422708.65384615381</v>
      </c>
      <c r="J38" s="17">
        <f t="shared" si="0"/>
        <v>0</v>
      </c>
      <c r="K38" s="17">
        <f t="shared" si="0"/>
        <v>0</v>
      </c>
      <c r="L38" s="17">
        <f t="shared" si="0"/>
        <v>422708.65384615381</v>
      </c>
      <c r="M38" s="17">
        <f t="shared" si="0"/>
        <v>20000</v>
      </c>
      <c r="N38" s="17">
        <f t="shared" si="0"/>
        <v>173000</v>
      </c>
      <c r="O38" s="17">
        <f t="shared" si="0"/>
        <v>162000</v>
      </c>
      <c r="P38" s="17">
        <f t="shared" si="0"/>
        <v>31000</v>
      </c>
      <c r="Q38" s="17">
        <f t="shared" si="0"/>
        <v>0</v>
      </c>
      <c r="R38" s="17">
        <f t="shared" si="0"/>
        <v>260708.65384615387</v>
      </c>
    </row>
    <row r="40" spans="1:18" ht="19.5" customHeight="1" x14ac:dyDescent="0.3">
      <c r="A40" s="56" t="s">
        <v>114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</sheetData>
  <mergeCells count="3">
    <mergeCell ref="A1:R1"/>
    <mergeCell ref="A38:B38"/>
    <mergeCell ref="A40:R40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6600"/>
  </sheetPr>
  <dimension ref="A1:R40"/>
  <sheetViews>
    <sheetView showGridLines="0" topLeftCell="E1" zoomScaleNormal="100" workbookViewId="0">
      <pane ySplit="7" topLeftCell="A8" activePane="bottomLeft" state="frozen"/>
      <selection pane="bottomLeft" activeCell="Q21" sqref="Q21"/>
    </sheetView>
  </sheetViews>
  <sheetFormatPr defaultColWidth="8.5546875" defaultRowHeight="14.4" x14ac:dyDescent="0.3"/>
  <cols>
    <col min="1" max="1" width="22" customWidth="1"/>
    <col min="2" max="2" width="15" customWidth="1"/>
    <col min="3" max="4" width="11" customWidth="1"/>
    <col min="5" max="5" width="10" customWidth="1"/>
    <col min="6" max="7" width="12" customWidth="1"/>
    <col min="8" max="8" width="10" customWidth="1"/>
    <col min="9" max="9" width="14" customWidth="1"/>
    <col min="10" max="10" width="13" customWidth="1"/>
    <col min="11" max="11" width="16" customWidth="1"/>
    <col min="12" max="12" width="14" customWidth="1"/>
    <col min="13" max="16" width="12" customWidth="1"/>
    <col min="17" max="17" width="15" customWidth="1"/>
    <col min="18" max="18" width="14" customWidth="1"/>
  </cols>
  <sheetData>
    <row r="1" spans="1:18" ht="31.5" customHeight="1" x14ac:dyDescent="0.3">
      <c r="A1" s="54" t="s">
        <v>119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1" t="s">
        <v>93</v>
      </c>
      <c r="B2" s="10" t="s">
        <v>120</v>
      </c>
    </row>
    <row r="3" spans="1:18" ht="19.5" customHeight="1" x14ac:dyDescent="0.3">
      <c r="A3" s="1" t="s">
        <v>95</v>
      </c>
      <c r="B3" s="10">
        <v>208</v>
      </c>
    </row>
    <row r="4" spans="1:18" ht="19.5" customHeight="1" x14ac:dyDescent="0.3">
      <c r="A4" s="1" t="s">
        <v>14</v>
      </c>
      <c r="B4" s="38">
        <f>Setup!B9</f>
        <v>1.5</v>
      </c>
    </row>
    <row r="5" spans="1:18" ht="19.5" customHeight="1" x14ac:dyDescent="0.3">
      <c r="A5" s="1" t="s">
        <v>16</v>
      </c>
      <c r="B5" s="12">
        <f>Setup!B10</f>
        <v>0</v>
      </c>
    </row>
    <row r="7" spans="1:18" ht="36" customHeight="1" x14ac:dyDescent="0.3">
      <c r="A7" s="39" t="s">
        <v>37</v>
      </c>
      <c r="B7" s="39" t="s">
        <v>96</v>
      </c>
      <c r="C7" s="39" t="s">
        <v>97</v>
      </c>
      <c r="D7" s="39" t="s">
        <v>98</v>
      </c>
      <c r="E7" s="39" t="s">
        <v>99</v>
      </c>
      <c r="F7" s="39" t="s">
        <v>100</v>
      </c>
      <c r="G7" s="39" t="s">
        <v>101</v>
      </c>
      <c r="H7" s="39" t="s">
        <v>102</v>
      </c>
      <c r="I7" s="21" t="s">
        <v>103</v>
      </c>
      <c r="J7" s="21" t="s">
        <v>104</v>
      </c>
      <c r="K7" s="21" t="s">
        <v>105</v>
      </c>
      <c r="L7" s="21" t="s">
        <v>106</v>
      </c>
      <c r="M7" s="21" t="s">
        <v>107</v>
      </c>
      <c r="N7" s="21" t="s">
        <v>108</v>
      </c>
      <c r="O7" s="21" t="s">
        <v>109</v>
      </c>
      <c r="P7" s="21" t="s">
        <v>110</v>
      </c>
      <c r="Q7" s="21" t="s">
        <v>111</v>
      </c>
      <c r="R7" s="21" t="s">
        <v>112</v>
      </c>
    </row>
    <row r="8" spans="1:18" ht="21.75" customHeight="1" x14ac:dyDescent="0.3">
      <c r="A8" s="1" t="str">
        <f>Setup!B15</f>
        <v>Sheraz</v>
      </c>
      <c r="B8" s="40">
        <f>IF(Setup!B15&lt;&gt;"",Setup!C15,"")</f>
        <v>38000</v>
      </c>
      <c r="C8" s="41">
        <f>IF(Setup!B15&lt;&gt;"",$B3,"")</f>
        <v>208</v>
      </c>
      <c r="D8" s="42">
        <f>IF(Setup!B15&lt;&gt;"",Attendance_Apr!E38,"")</f>
        <v>187.04999999999998</v>
      </c>
      <c r="E8" s="41">
        <f>IF(Setup!B15&lt;&gt;"",Attendance_Apr!E39,"")</f>
        <v>0</v>
      </c>
      <c r="F8" s="43">
        <f>IFERROR(IF(Setup!B15&lt;&gt;"",B8/C8,""),"")</f>
        <v>182.69230769230768</v>
      </c>
      <c r="G8" s="42">
        <f>IF(Setup!B15&lt;&gt;"",MIN(D8,C8),"")</f>
        <v>187.04999999999998</v>
      </c>
      <c r="H8" s="42">
        <f>IF(Setup!B15&lt;&gt;"",MAX(D8-C8,0),"")</f>
        <v>0</v>
      </c>
      <c r="I8" s="16">
        <f>IF(Setup!B15&lt;&gt;"",F8*G8,"")</f>
        <v>34172.596153846149</v>
      </c>
      <c r="J8" s="16">
        <f>IF(Setup!B15&lt;&gt;"",F8*H8*$B4,"")</f>
        <v>0</v>
      </c>
      <c r="K8" s="16">
        <f>IF(Setup!B15&lt;&gt;"",IF(E8=0,$B5,0),"")</f>
        <v>0</v>
      </c>
      <c r="L8" s="44">
        <f>IF(Setup!B15&lt;&gt;"",I8+J8+K8,"")</f>
        <v>34172.596153846149</v>
      </c>
      <c r="M8" s="16">
        <f>IF(Setup!B15&lt;&gt;"",Payroll_Mar!P8,"")</f>
        <v>0</v>
      </c>
      <c r="N8" s="46">
        <v>30000</v>
      </c>
      <c r="O8" s="46">
        <v>30000</v>
      </c>
      <c r="P8" s="44">
        <f>IF(Setup!B15&lt;&gt;"",M8+N8-O8,"")</f>
        <v>0</v>
      </c>
      <c r="Q8" s="46">
        <v>0</v>
      </c>
      <c r="R8" s="47">
        <f>IF(Setup!B15&lt;&gt;"",L8-O8-Q8,"")</f>
        <v>4172.5961538461488</v>
      </c>
    </row>
    <row r="9" spans="1:18" ht="21.75" customHeight="1" x14ac:dyDescent="0.3">
      <c r="A9" s="18" t="str">
        <f>Setup!B16</f>
        <v>Zain</v>
      </c>
      <c r="B9" s="48">
        <f>IF(Setup!B16&lt;&gt;"",Setup!C16,"")</f>
        <v>53000</v>
      </c>
      <c r="C9" s="49">
        <f>IF(Setup!B16&lt;&gt;"",$B3,"")</f>
        <v>208</v>
      </c>
      <c r="D9" s="50">
        <f>IF(Setup!B16&lt;&gt;"",Attendance_Apr!F38,"")</f>
        <v>214.9</v>
      </c>
      <c r="E9" s="49">
        <f>IF(Setup!B16&lt;&gt;"",Attendance_Apr!F39,"")</f>
        <v>0</v>
      </c>
      <c r="F9" s="51">
        <f>IFERROR(IF(Setup!B16&lt;&gt;"",B9/C9,""),"")</f>
        <v>254.80769230769232</v>
      </c>
      <c r="G9" s="50">
        <f>IF(Setup!B16&lt;&gt;"",MIN(D9,C9),"")</f>
        <v>208</v>
      </c>
      <c r="H9" s="50">
        <f>IF(Setup!B16&lt;&gt;"",MAX(D9-C9,0),"")</f>
        <v>6.9000000000000057</v>
      </c>
      <c r="I9" s="19">
        <f>IF(Setup!B16&lt;&gt;"",F9*G9,"")</f>
        <v>53000</v>
      </c>
      <c r="J9" s="19">
        <f>IF(Setup!B16&lt;&gt;"",F9*H9*$B4,"")</f>
        <v>2637.259615384618</v>
      </c>
      <c r="K9" s="19">
        <f>IF(Setup!B16&lt;&gt;"",IF(E9=0,$B5,0),"")</f>
        <v>0</v>
      </c>
      <c r="L9" s="52">
        <f>IF(Setup!B16&lt;&gt;"",I9+J9+K9,"")</f>
        <v>55637.259615384617</v>
      </c>
      <c r="M9" s="19">
        <f>IF(Setup!B16&lt;&gt;"",Payroll_Mar!P9,"")</f>
        <v>0</v>
      </c>
      <c r="N9" s="46">
        <v>41000</v>
      </c>
      <c r="O9" s="46">
        <v>41000</v>
      </c>
      <c r="P9" s="52">
        <f>IF(Setup!B16&lt;&gt;"",M9+N9-O9,"")</f>
        <v>0</v>
      </c>
      <c r="Q9" s="46">
        <v>0</v>
      </c>
      <c r="R9" s="47">
        <f>IF(Setup!B16&lt;&gt;"",L9-O9-Q9,"")</f>
        <v>14637.259615384617</v>
      </c>
    </row>
    <row r="10" spans="1:18" ht="21.75" customHeight="1" x14ac:dyDescent="0.3">
      <c r="A10" s="1" t="str">
        <f>Setup!B17</f>
        <v>Yousaf</v>
      </c>
      <c r="B10" s="40">
        <f>IF(Setup!B17&lt;&gt;"",Setup!C17,"")</f>
        <v>28000</v>
      </c>
      <c r="C10" s="41">
        <f>IF(Setup!B17&lt;&gt;"",$B3,"")</f>
        <v>208</v>
      </c>
      <c r="D10" s="42">
        <f>IF(Setup!B17&lt;&gt;"",Attendance_Apr!G38,"")</f>
        <v>191</v>
      </c>
      <c r="E10" s="41">
        <f>IF(Setup!B17&lt;&gt;"",Attendance_Apr!G39,"")</f>
        <v>0</v>
      </c>
      <c r="F10" s="43">
        <f>IFERROR(IF(Setup!B17&lt;&gt;"",B10/C10,""),"")</f>
        <v>134.61538461538461</v>
      </c>
      <c r="G10" s="42">
        <f>IF(Setup!B17&lt;&gt;"",MIN(D10,C10),"")</f>
        <v>191</v>
      </c>
      <c r="H10" s="42">
        <f>IF(Setup!B17&lt;&gt;"",MAX(D10-C10,0),"")</f>
        <v>0</v>
      </c>
      <c r="I10" s="16">
        <f>IF(Setup!B17&lt;&gt;"",F10*G10,"")</f>
        <v>25711.538461538461</v>
      </c>
      <c r="J10" s="16">
        <f>IF(Setup!B17&lt;&gt;"",F10*H10*$B4,"")</f>
        <v>0</v>
      </c>
      <c r="K10" s="16">
        <f>IF(Setup!B17&lt;&gt;"",IF(E10=0,$B5,0),"")</f>
        <v>0</v>
      </c>
      <c r="L10" s="44">
        <f>IF(Setup!B17&lt;&gt;"",I10+J10+K10,"")</f>
        <v>25711.538461538461</v>
      </c>
      <c r="M10" s="16">
        <f>IF(Setup!B17&lt;&gt;"",Payroll_Mar!P10,"")</f>
        <v>0</v>
      </c>
      <c r="N10" s="46">
        <v>8000</v>
      </c>
      <c r="O10" s="46">
        <v>8000</v>
      </c>
      <c r="P10" s="44">
        <f>IF(Setup!B17&lt;&gt;"",M10+N10-O10,"")</f>
        <v>0</v>
      </c>
      <c r="Q10" s="46">
        <v>0</v>
      </c>
      <c r="R10" s="47">
        <f>IF(Setup!B17&lt;&gt;"",L10-O10-Q10,"")</f>
        <v>17711.538461538461</v>
      </c>
    </row>
    <row r="11" spans="1:18" ht="21.75" customHeight="1" x14ac:dyDescent="0.3">
      <c r="A11" s="18" t="str">
        <f>Setup!B18</f>
        <v>Hamza</v>
      </c>
      <c r="B11" s="48">
        <f>IF(Setup!B18&lt;&gt;"",Setup!C18,"")</f>
        <v>25000</v>
      </c>
      <c r="C11" s="49">
        <f>IF(Setup!B18&lt;&gt;"",$B3,"")</f>
        <v>208</v>
      </c>
      <c r="D11" s="50">
        <f>IF(Setup!B18&lt;&gt;"",Attendance_Apr!H38,"")</f>
        <v>168.68</v>
      </c>
      <c r="E11" s="49">
        <f>IF(Setup!B18&lt;&gt;"",Attendance_Apr!H39,"")</f>
        <v>0</v>
      </c>
      <c r="F11" s="51">
        <f>IFERROR(IF(Setup!B18&lt;&gt;"",B11/C11,""),"")</f>
        <v>120.19230769230769</v>
      </c>
      <c r="G11" s="50">
        <f>IF(Setup!B18&lt;&gt;"",MIN(D11,C11),"")</f>
        <v>168.68</v>
      </c>
      <c r="H11" s="50">
        <f>IF(Setup!B18&lt;&gt;"",MAX(D11-C11,0),"")</f>
        <v>0</v>
      </c>
      <c r="I11" s="19">
        <f>IF(Setup!B18&lt;&gt;"",F11*G11,"")</f>
        <v>20274.038461538461</v>
      </c>
      <c r="J11" s="19">
        <f>IF(Setup!B18&lt;&gt;"",F11*H11*$B4,"")</f>
        <v>0</v>
      </c>
      <c r="K11" s="19">
        <f>IF(Setup!B18&lt;&gt;"",IF(E11=0,$B5,0),"")</f>
        <v>0</v>
      </c>
      <c r="L11" s="52">
        <f>IF(Setup!B18&lt;&gt;"",I11+J11+K11,"")</f>
        <v>20274.038461538461</v>
      </c>
      <c r="M11" s="19">
        <f>IF(Setup!B18&lt;&gt;"",Payroll_Mar!P11,"")</f>
        <v>20000</v>
      </c>
      <c r="N11" s="46">
        <v>11500</v>
      </c>
      <c r="O11" s="46">
        <v>13000</v>
      </c>
      <c r="P11" s="52">
        <f>IF(Setup!B18&lt;&gt;"",M11+N11-O11,"")</f>
        <v>18500</v>
      </c>
      <c r="Q11" s="46">
        <v>0</v>
      </c>
      <c r="R11" s="47">
        <f>IF(Setup!B18&lt;&gt;"",L11-O11-Q11,"")</f>
        <v>7274.038461538461</v>
      </c>
    </row>
    <row r="12" spans="1:18" ht="21.75" customHeight="1" x14ac:dyDescent="0.3">
      <c r="A12" s="1" t="str">
        <f>Setup!B19</f>
        <v>Amjad</v>
      </c>
      <c r="B12" s="40">
        <f>IF(Setup!B19&lt;&gt;"",Setup!C19,"")</f>
        <v>25000</v>
      </c>
      <c r="C12" s="41">
        <f>IF(Setup!B19&lt;&gt;"",$B3,"")</f>
        <v>208</v>
      </c>
      <c r="D12" s="42">
        <f>IF(Setup!B19&lt;&gt;"",Attendance_Apr!I38,"")</f>
        <v>190.08</v>
      </c>
      <c r="E12" s="41">
        <f>IF(Setup!B19&lt;&gt;"",Attendance_Apr!I39,"")</f>
        <v>0</v>
      </c>
      <c r="F12" s="43">
        <f>IFERROR(IF(Setup!B19&lt;&gt;"",B12/C12,""),"")</f>
        <v>120.19230769230769</v>
      </c>
      <c r="G12" s="42">
        <f>IF(Setup!B19&lt;&gt;"",MIN(D12,C12),"")</f>
        <v>190.08</v>
      </c>
      <c r="H12" s="42">
        <f>IF(Setup!B19&lt;&gt;"",MAX(D12-C12,0),"")</f>
        <v>0</v>
      </c>
      <c r="I12" s="16">
        <f>IF(Setup!B19&lt;&gt;"",F12*G12,"")</f>
        <v>22846.153846153848</v>
      </c>
      <c r="J12" s="16">
        <f>IF(Setup!B19&lt;&gt;"",F12*H12*$B4,"")</f>
        <v>0</v>
      </c>
      <c r="K12" s="16">
        <f>IF(Setup!B19&lt;&gt;"",IF(E12=0,$B5,0),"")</f>
        <v>0</v>
      </c>
      <c r="L12" s="44">
        <f>IF(Setup!B19&lt;&gt;"",I12+J12+K12,"")</f>
        <v>22846.153846153848</v>
      </c>
      <c r="M12" s="16">
        <f>IF(Setup!B19&lt;&gt;"",Payroll_Mar!P12,"")</f>
        <v>0</v>
      </c>
      <c r="N12" s="46">
        <v>6000</v>
      </c>
      <c r="O12" s="46">
        <v>6000</v>
      </c>
      <c r="P12" s="44">
        <f>IF(Setup!B19&lt;&gt;"",M12+N12-O12,"")</f>
        <v>0</v>
      </c>
      <c r="Q12" s="46">
        <v>0</v>
      </c>
      <c r="R12" s="47">
        <f>IF(Setup!B19&lt;&gt;"",L12-O12-Q12,"")</f>
        <v>16846.153846153848</v>
      </c>
    </row>
    <row r="13" spans="1:18" ht="21.75" customHeight="1" x14ac:dyDescent="0.3">
      <c r="A13" s="18" t="str">
        <f>Setup!B20</f>
        <v>Tanveer</v>
      </c>
      <c r="B13" s="48">
        <f>IF(Setup!B20&lt;&gt;"",Setup!C20,"")</f>
        <v>25000</v>
      </c>
      <c r="C13" s="49">
        <f>IF(Setup!B20&lt;&gt;"",$B3,"")</f>
        <v>208</v>
      </c>
      <c r="D13" s="50">
        <f>IF(Setup!B20&lt;&gt;"",Attendance_Apr!J38,"")</f>
        <v>168</v>
      </c>
      <c r="E13" s="49">
        <f>IF(Setup!B20&lt;&gt;"",Attendance_Apr!J39,"")</f>
        <v>0</v>
      </c>
      <c r="F13" s="51">
        <f>IFERROR(IF(Setup!B20&lt;&gt;"",B13/C13,""),"")</f>
        <v>120.19230769230769</v>
      </c>
      <c r="G13" s="50">
        <f>IF(Setup!B20&lt;&gt;"",MIN(D13,C13),"")</f>
        <v>168</v>
      </c>
      <c r="H13" s="50">
        <f>IF(Setup!B20&lt;&gt;"",MAX(D13-C13,0),"")</f>
        <v>0</v>
      </c>
      <c r="I13" s="19">
        <f>IF(Setup!B20&lt;&gt;"",F13*G13,"")</f>
        <v>20192.307692307691</v>
      </c>
      <c r="J13" s="19">
        <f>IF(Setup!B20&lt;&gt;"",F13*H13*$B4,"")</f>
        <v>0</v>
      </c>
      <c r="K13" s="19">
        <f>IF(Setup!B20&lt;&gt;"",IF(E13=0,$B5,0),"")</f>
        <v>0</v>
      </c>
      <c r="L13" s="52">
        <f>IF(Setup!B20&lt;&gt;"",I13+J13+K13,"")</f>
        <v>20192.307692307691</v>
      </c>
      <c r="M13" s="19">
        <f>IF(Setup!B20&lt;&gt;"",Payroll_Mar!P13,"")</f>
        <v>11000</v>
      </c>
      <c r="N13" s="46">
        <v>11000</v>
      </c>
      <c r="O13" s="46">
        <v>22000</v>
      </c>
      <c r="P13" s="52">
        <f>IF(Setup!B20&lt;&gt;"",M13+N13-O13,"")</f>
        <v>0</v>
      </c>
      <c r="Q13" s="46">
        <v>0</v>
      </c>
      <c r="R13" s="47">
        <f>IF(Setup!B20&lt;&gt;"",L13-O13-Q13,"")</f>
        <v>-1807.6923076923085</v>
      </c>
    </row>
    <row r="14" spans="1:18" ht="21.75" customHeight="1" x14ac:dyDescent="0.3">
      <c r="A14" s="1" t="str">
        <f>Setup!B21</f>
        <v>Ali Zaman</v>
      </c>
      <c r="B14" s="40">
        <f>IF(Setup!B21&lt;&gt;"",Setup!C21,"")</f>
        <v>75000</v>
      </c>
      <c r="C14" s="41">
        <f>IF(Setup!B21&lt;&gt;"",$B3,"")</f>
        <v>208</v>
      </c>
      <c r="D14" s="42">
        <f>IF(Setup!B21&lt;&gt;"",Attendance_Apr!K38,"")</f>
        <v>208</v>
      </c>
      <c r="E14" s="41">
        <f>IF(Setup!B21&lt;&gt;"",Attendance_Apr!K39,"")</f>
        <v>0</v>
      </c>
      <c r="F14" s="43">
        <f>IFERROR(IF(Setup!B21&lt;&gt;"",B14/C14,""),"")</f>
        <v>360.57692307692309</v>
      </c>
      <c r="G14" s="42">
        <f>IF(Setup!B21&lt;&gt;"",MIN(D14,C14),"")</f>
        <v>208</v>
      </c>
      <c r="H14" s="42">
        <f>IF(Setup!B21&lt;&gt;"",MAX(D14-C14,0),"")</f>
        <v>0</v>
      </c>
      <c r="I14" s="16">
        <f>IF(Setup!B21&lt;&gt;"",F14*G14,"")</f>
        <v>75000</v>
      </c>
      <c r="J14" s="16">
        <f>IF(Setup!B21&lt;&gt;"",F14*H14*$B4,"")</f>
        <v>0</v>
      </c>
      <c r="K14" s="16">
        <f>IF(Setup!B21&lt;&gt;"",IF(E14=0,$B5,0),"")</f>
        <v>0</v>
      </c>
      <c r="L14" s="44">
        <f>IF(Setup!B21&lt;&gt;"",I14+J14+K14,"")</f>
        <v>75000</v>
      </c>
      <c r="M14" s="16">
        <f>IF(Setup!B21&lt;&gt;"",Payroll_Mar!P14,"")</f>
        <v>0</v>
      </c>
      <c r="N14" s="46">
        <v>55000</v>
      </c>
      <c r="O14" s="46">
        <v>37000</v>
      </c>
      <c r="P14" s="44">
        <f>IF(Setup!B21&lt;&gt;"",M14+N14-O14,"")</f>
        <v>18000</v>
      </c>
      <c r="Q14" s="46">
        <v>0</v>
      </c>
      <c r="R14" s="47">
        <f>IF(Setup!B21&lt;&gt;"",L14-O14-Q14,"")</f>
        <v>38000</v>
      </c>
    </row>
    <row r="15" spans="1:18" ht="21.75" customHeight="1" x14ac:dyDescent="0.3">
      <c r="A15" s="18" t="str">
        <f>Setup!B22</f>
        <v>Awais Ali</v>
      </c>
      <c r="B15" s="48">
        <f>IF(Setup!B22&lt;&gt;"",Setup!C22,"")</f>
        <v>25000</v>
      </c>
      <c r="C15" s="49">
        <f>IF(Setup!B22&lt;&gt;"",$B3,"")</f>
        <v>208</v>
      </c>
      <c r="D15" s="50">
        <f>IF(Setup!B22&lt;&gt;"",Attendance_Apr!L38,"")</f>
        <v>194.2</v>
      </c>
      <c r="E15" s="49">
        <f>IF(Setup!B22&lt;&gt;"",Attendance_Apr!L39,"")</f>
        <v>0</v>
      </c>
      <c r="F15" s="51">
        <f>IFERROR(IF(Setup!B22&lt;&gt;"",B15/C15,""),"")</f>
        <v>120.19230769230769</v>
      </c>
      <c r="G15" s="50">
        <f>IF(Setup!B22&lt;&gt;"",MIN(D15,C15),"")</f>
        <v>194.2</v>
      </c>
      <c r="H15" s="50">
        <f>IF(Setup!B22&lt;&gt;"",MAX(D15-C15,0),"")</f>
        <v>0</v>
      </c>
      <c r="I15" s="19">
        <f>IF(Setup!B22&lt;&gt;"",F15*G15,"")</f>
        <v>23341.346153846152</v>
      </c>
      <c r="J15" s="19">
        <f>IF(Setup!B22&lt;&gt;"",F15*H15*$B4,"")</f>
        <v>0</v>
      </c>
      <c r="K15" s="19">
        <f>IF(Setup!B22&lt;&gt;"",IF(E15=0,$B5,0),"")</f>
        <v>0</v>
      </c>
      <c r="L15" s="52">
        <f>IF(Setup!B22&lt;&gt;"",I15+J15+K15,"")</f>
        <v>23341.346153846152</v>
      </c>
      <c r="M15" s="19">
        <f>IF(Setup!B22&lt;&gt;"",Payroll_Mar!P15,"")</f>
        <v>0</v>
      </c>
      <c r="N15" s="46">
        <v>6000</v>
      </c>
      <c r="O15" s="46">
        <v>6000</v>
      </c>
      <c r="P15" s="52">
        <f>IF(Setup!B22&lt;&gt;"",M15+N15-O15,"")</f>
        <v>0</v>
      </c>
      <c r="Q15" s="46">
        <v>0</v>
      </c>
      <c r="R15" s="47">
        <f>IF(Setup!B22&lt;&gt;"",L15-O15-Q15,"")</f>
        <v>17341.346153846152</v>
      </c>
    </row>
    <row r="16" spans="1:18" ht="21.75" customHeight="1" x14ac:dyDescent="0.3">
      <c r="A16" s="1" t="str">
        <f>Setup!B23</f>
        <v>Ishtiaq</v>
      </c>
      <c r="B16" s="40">
        <f>IF(Setup!B23&lt;&gt;"",Setup!C23,"")</f>
        <v>25000</v>
      </c>
      <c r="C16" s="41">
        <f>IF(Setup!B23&lt;&gt;"",$B3,"")</f>
        <v>208</v>
      </c>
      <c r="D16" s="42">
        <f>IF(Setup!B23&lt;&gt;"",Attendance_Apr!M38,"")</f>
        <v>209.47</v>
      </c>
      <c r="E16" s="41">
        <f>IF(Setup!B23&lt;&gt;"",Attendance_Apr!M39,"")</f>
        <v>0</v>
      </c>
      <c r="F16" s="43">
        <f>IFERROR(IF(Setup!B23&lt;&gt;"",B16/C16,""),"")</f>
        <v>120.19230769230769</v>
      </c>
      <c r="G16" s="42">
        <f>IF(Setup!B23&lt;&gt;"",MIN(D16,C16),"")</f>
        <v>208</v>
      </c>
      <c r="H16" s="42">
        <f>IF(Setup!B23&lt;&gt;"",MAX(D16-C16,0),"")</f>
        <v>1.4699999999999989</v>
      </c>
      <c r="I16" s="16">
        <f>IF(Setup!B23&lt;&gt;"",F16*G16,"")</f>
        <v>25000</v>
      </c>
      <c r="J16" s="16">
        <f>IF(Setup!B23&lt;&gt;"",F16*H16*$B4,"")</f>
        <v>265.02403846153828</v>
      </c>
      <c r="K16" s="16">
        <f>IF(Setup!B23&lt;&gt;"",IF(E16=0,$B5,0),"")</f>
        <v>0</v>
      </c>
      <c r="L16" s="44">
        <f>IF(Setup!B23&lt;&gt;"",I16+J16+K16,"")</f>
        <v>25265.024038461539</v>
      </c>
      <c r="M16" s="16">
        <f>IF(Setup!B23&lt;&gt;"",Payroll_Mar!P16,"")</f>
        <v>0</v>
      </c>
      <c r="N16" s="46">
        <v>10000</v>
      </c>
      <c r="O16" s="46">
        <v>10000</v>
      </c>
      <c r="P16" s="44">
        <f>IF(Setup!B23&lt;&gt;"",M16+N16-O16,"")</f>
        <v>0</v>
      </c>
      <c r="Q16" s="46">
        <v>0</v>
      </c>
      <c r="R16" s="47">
        <f>IF(Setup!B23&lt;&gt;"",L16-O16-Q16,"")</f>
        <v>15265.024038461539</v>
      </c>
    </row>
    <row r="17" spans="1:18" ht="21.75" customHeight="1" x14ac:dyDescent="0.3">
      <c r="A17" s="18" t="str">
        <f>Setup!B24</f>
        <v>Usama bhai</v>
      </c>
      <c r="B17" s="48">
        <f>IF(Setup!B24&lt;&gt;"",Setup!C24,"")</f>
        <v>50000</v>
      </c>
      <c r="C17" s="49">
        <f>IF(Setup!B24&lt;&gt;"",$B3,"")</f>
        <v>208</v>
      </c>
      <c r="D17" s="50">
        <f>IF(Setup!B24&lt;&gt;"",Attendance_Apr!N38,"")</f>
        <v>208</v>
      </c>
      <c r="E17" s="49">
        <f>IF(Setup!B24&lt;&gt;"",Attendance_Apr!N39,"")</f>
        <v>0</v>
      </c>
      <c r="F17" s="51">
        <f>IFERROR(IF(Setup!B24&lt;&gt;"",B17/C17,""),"")</f>
        <v>240.38461538461539</v>
      </c>
      <c r="G17" s="50">
        <f>IF(Setup!B24&lt;&gt;"",MIN(D17,C17),"")</f>
        <v>208</v>
      </c>
      <c r="H17" s="50">
        <f>IF(Setup!B24&lt;&gt;"",MAX(D17-C17,0),"")</f>
        <v>0</v>
      </c>
      <c r="I17" s="19">
        <f>IF(Setup!B24&lt;&gt;"",F17*G17,"")</f>
        <v>50000</v>
      </c>
      <c r="J17" s="19">
        <f>IF(Setup!B24&lt;&gt;"",F17*H17*$B4,"")</f>
        <v>0</v>
      </c>
      <c r="K17" s="19">
        <f>IF(Setup!B24&lt;&gt;"",IF(E17=0,$B5,0),"")</f>
        <v>0</v>
      </c>
      <c r="L17" s="52">
        <f>IF(Setup!B24&lt;&gt;"",I17+J17+K17,"")</f>
        <v>50000</v>
      </c>
      <c r="M17" s="19">
        <f>IF(Setup!B24&lt;&gt;"",Payroll_Mar!P17,"")</f>
        <v>0</v>
      </c>
      <c r="N17" s="46">
        <v>0</v>
      </c>
      <c r="O17" s="46">
        <v>0</v>
      </c>
      <c r="P17" s="52">
        <f>IF(Setup!B24&lt;&gt;"",M17+N17-O17,"")</f>
        <v>0</v>
      </c>
      <c r="Q17" s="46">
        <v>0</v>
      </c>
      <c r="R17" s="47">
        <f>IF(Setup!B24&lt;&gt;"",L17-O17-Q17,"")</f>
        <v>50000</v>
      </c>
    </row>
    <row r="18" spans="1:18" ht="21.75" customHeight="1" x14ac:dyDescent="0.3">
      <c r="A18" s="1" t="str">
        <f>Setup!B25</f>
        <v>Ahtisham</v>
      </c>
      <c r="B18" s="40">
        <f>IF(Setup!B25&lt;&gt;"",Setup!C25,"")</f>
        <v>10000</v>
      </c>
      <c r="C18" s="41">
        <f>IF(Setup!B25&lt;&gt;"",$B3,"")</f>
        <v>208</v>
      </c>
      <c r="D18" s="42">
        <f>IF(Setup!B25&lt;&gt;"",Attendance_Apr!O38,"")</f>
        <v>208</v>
      </c>
      <c r="E18" s="41">
        <f>IF(Setup!B25&lt;&gt;"",Attendance_Apr!O39,"")</f>
        <v>0</v>
      </c>
      <c r="F18" s="43">
        <f>IFERROR(IF(Setup!B25&lt;&gt;"",B18/C18,""),"")</f>
        <v>48.07692307692308</v>
      </c>
      <c r="G18" s="42">
        <f>IF(Setup!B25&lt;&gt;"",MIN(D18,C18),"")</f>
        <v>208</v>
      </c>
      <c r="H18" s="42">
        <f>IF(Setup!B25&lt;&gt;"",MAX(D18-C18,0),"")</f>
        <v>0</v>
      </c>
      <c r="I18" s="16">
        <f>IF(Setup!B25&lt;&gt;"",F18*G18,"")</f>
        <v>10000</v>
      </c>
      <c r="J18" s="16">
        <f>IF(Setup!B25&lt;&gt;"",F18*H18*$B4,"")</f>
        <v>0</v>
      </c>
      <c r="K18" s="16">
        <f>IF(Setup!B25&lt;&gt;"",IF(E18=0,$B5,0),"")</f>
        <v>0</v>
      </c>
      <c r="L18" s="44">
        <f>IF(Setup!B25&lt;&gt;"",I18+J18+K18,"")</f>
        <v>10000</v>
      </c>
      <c r="M18" s="16">
        <f>IF(Setup!B25&lt;&gt;"",Payroll_Mar!P18,"")</f>
        <v>0</v>
      </c>
      <c r="N18" s="46">
        <v>0</v>
      </c>
      <c r="O18" s="46">
        <v>0</v>
      </c>
      <c r="P18" s="44">
        <f>IF(Setup!B25&lt;&gt;"",M18+N18-O18,"")</f>
        <v>0</v>
      </c>
      <c r="Q18" s="46">
        <v>0</v>
      </c>
      <c r="R18" s="47">
        <f>IF(Setup!B25&lt;&gt;"",L18-O18-Q18,"")</f>
        <v>10000</v>
      </c>
    </row>
    <row r="19" spans="1:18" ht="21.75" customHeight="1" x14ac:dyDescent="0.3">
      <c r="A19" s="18" t="str">
        <f>Setup!B26</f>
        <v>Factory rent</v>
      </c>
      <c r="B19" s="48">
        <f>IF(Setup!B26&lt;&gt;"",Setup!C26,"")</f>
        <v>77000</v>
      </c>
      <c r="C19" s="49">
        <f>IF(Setup!B26&lt;&gt;"",$B3,"")</f>
        <v>208</v>
      </c>
      <c r="D19" s="50">
        <f>IF(Setup!B26&lt;&gt;"",Attendance_Apr!P38,"")</f>
        <v>208</v>
      </c>
      <c r="E19" s="49">
        <f>IF(Setup!B26&lt;&gt;"",Attendance_Apr!P39,"")</f>
        <v>0</v>
      </c>
      <c r="F19" s="51">
        <f>IFERROR(IF(Setup!B26&lt;&gt;"",B19/C19,""),"")</f>
        <v>370.19230769230768</v>
      </c>
      <c r="G19" s="50">
        <f>IF(Setup!B26&lt;&gt;"",MIN(D19,C19),"")</f>
        <v>208</v>
      </c>
      <c r="H19" s="50">
        <f>IF(Setup!B26&lt;&gt;"",MAX(D19-C19,0),"")</f>
        <v>0</v>
      </c>
      <c r="I19" s="19">
        <f>IF(Setup!B26&lt;&gt;"",F19*G19,"")</f>
        <v>77000</v>
      </c>
      <c r="J19" s="19">
        <f>IF(Setup!B26&lt;&gt;"",F19*H19*$B4,"")</f>
        <v>0</v>
      </c>
      <c r="K19" s="19">
        <f>IF(Setup!B26&lt;&gt;"",IF(E19=0,$B5,0),"")</f>
        <v>0</v>
      </c>
      <c r="L19" s="52">
        <f>IF(Setup!B26&lt;&gt;"",I19+J19+K19,"")</f>
        <v>77000</v>
      </c>
      <c r="M19" s="19">
        <f>IF(Setup!B26&lt;&gt;"",Payroll_Mar!P19,"")</f>
        <v>0</v>
      </c>
      <c r="N19" s="46">
        <v>0</v>
      </c>
      <c r="O19" s="46">
        <v>0</v>
      </c>
      <c r="P19" s="52">
        <f>IF(Setup!B26&lt;&gt;"",M19+N19-O19,"")</f>
        <v>0</v>
      </c>
      <c r="Q19" s="46">
        <v>0</v>
      </c>
      <c r="R19" s="47">
        <f>IF(Setup!B26&lt;&gt;"",L19-O19-Q19,"")</f>
        <v>77000</v>
      </c>
    </row>
    <row r="20" spans="1:18" ht="21.75" customHeight="1" x14ac:dyDescent="0.3">
      <c r="A20" s="1" t="str">
        <f>Setup!B27</f>
        <v>Internet bill</v>
      </c>
      <c r="B20" s="40">
        <f>IF(Setup!B27&lt;&gt;"",Setup!C27,"")</f>
        <v>2500</v>
      </c>
      <c r="C20" s="41">
        <f>IF(Setup!B27&lt;&gt;"",$B3,"")</f>
        <v>208</v>
      </c>
      <c r="D20" s="42">
        <f>IF(Setup!B27&lt;&gt;"",Attendance_Apr!Q38,"")</f>
        <v>208</v>
      </c>
      <c r="E20" s="41">
        <f>IF(Setup!B27&lt;&gt;"",Attendance_Apr!Q39,"")</f>
        <v>0</v>
      </c>
      <c r="F20" s="43">
        <f>IFERROR(IF(Setup!B27&lt;&gt;"",B20/C20,""),"")</f>
        <v>12.01923076923077</v>
      </c>
      <c r="G20" s="42">
        <f>IF(Setup!B27&lt;&gt;"",MIN(D20,C20),"")</f>
        <v>208</v>
      </c>
      <c r="H20" s="42">
        <f>IF(Setup!B27&lt;&gt;"",MAX(D20-C20,0),"")</f>
        <v>0</v>
      </c>
      <c r="I20" s="16">
        <f>IF(Setup!B27&lt;&gt;"",F20*G20,"")</f>
        <v>2500</v>
      </c>
      <c r="J20" s="16">
        <f>IF(Setup!B27&lt;&gt;"",F20*H20*$B4,"")</f>
        <v>0</v>
      </c>
      <c r="K20" s="16">
        <f>IF(Setup!B27&lt;&gt;"",IF(E20=0,$B5,0),"")</f>
        <v>0</v>
      </c>
      <c r="L20" s="44">
        <f>IF(Setup!B27&lt;&gt;"",I20+J20+K20,"")</f>
        <v>2500</v>
      </c>
      <c r="M20" s="16">
        <f>IF(Setup!B27&lt;&gt;"",Payroll_Mar!P20,"")</f>
        <v>0</v>
      </c>
      <c r="N20" s="46">
        <v>0</v>
      </c>
      <c r="O20" s="46">
        <v>0</v>
      </c>
      <c r="P20" s="44">
        <f>IF(Setup!B27&lt;&gt;"",M20+N20-O20,"")</f>
        <v>0</v>
      </c>
      <c r="Q20" s="46">
        <v>0</v>
      </c>
      <c r="R20" s="47">
        <f>IF(Setup!B27&lt;&gt;"",L20-O20-Q20,"")</f>
        <v>2500</v>
      </c>
    </row>
    <row r="21" spans="1:18" ht="21.75" customHeight="1" x14ac:dyDescent="0.3">
      <c r="A21" s="18" t="str">
        <f>Setup!B28</f>
        <v>Saqab</v>
      </c>
      <c r="B21" s="48">
        <f>IF(Setup!B28&lt;&gt;"",Setup!C28,"")</f>
        <v>25000</v>
      </c>
      <c r="C21" s="49">
        <f>IF(Setup!B28&lt;&gt;"",$B3,"")</f>
        <v>208</v>
      </c>
      <c r="D21" s="50">
        <f>IF(Setup!B28&lt;&gt;"",Attendance_Apr!R38,"")</f>
        <v>0</v>
      </c>
      <c r="E21" s="49">
        <f>IF(Setup!B28&lt;&gt;"",Attendance_Apr!R39,"")</f>
        <v>0</v>
      </c>
      <c r="F21" s="51">
        <f>IFERROR(IF(Setup!B28&lt;&gt;"",B21/C21,""),"")</f>
        <v>120.19230769230769</v>
      </c>
      <c r="G21" s="50">
        <f>IF(Setup!B28&lt;&gt;"",MIN(D21,C21),"")</f>
        <v>0</v>
      </c>
      <c r="H21" s="50">
        <f>IF(Setup!B28&lt;&gt;"",MAX(D21-C21,0),"")</f>
        <v>0</v>
      </c>
      <c r="I21" s="19">
        <f>IF(Setup!B28&lt;&gt;"",F21*G21,"")</f>
        <v>0</v>
      </c>
      <c r="J21" s="19">
        <f>IF(Setup!B28&lt;&gt;"",F21*H21*$B4,"")</f>
        <v>0</v>
      </c>
      <c r="K21" s="19">
        <f>IF(Setup!B28&lt;&gt;"",IF(E21=0,$B5,0),"")</f>
        <v>0</v>
      </c>
      <c r="L21" s="52">
        <f>IF(Setup!B28&lt;&gt;"",I21+J21+K21,"")</f>
        <v>0</v>
      </c>
      <c r="M21" s="19">
        <f>IF(Setup!B28&lt;&gt;"",Payroll_Mar!P21,"")</f>
        <v>0</v>
      </c>
      <c r="N21" s="46">
        <v>0</v>
      </c>
      <c r="O21" s="46">
        <v>0</v>
      </c>
      <c r="P21" s="52">
        <f>IF(Setup!B28&lt;&gt;"",M21+N21-O21,"")</f>
        <v>0</v>
      </c>
      <c r="Q21" s="46">
        <v>0</v>
      </c>
      <c r="R21" s="47">
        <f>IF(Setup!B28&lt;&gt;"",L21-O21-Q21,"")</f>
        <v>0</v>
      </c>
    </row>
    <row r="22" spans="1:18" ht="21.75" customHeight="1" x14ac:dyDescent="0.3">
      <c r="A22" s="1">
        <f>Setup!B29</f>
        <v>0</v>
      </c>
      <c r="B22" s="40" t="str">
        <f>IF(Setup!B29&lt;&gt;"",Setup!C29,"")</f>
        <v/>
      </c>
      <c r="C22" s="41" t="str">
        <f>IF(Setup!B29&lt;&gt;"",$B3,"")</f>
        <v/>
      </c>
      <c r="D22" s="42" t="str">
        <f>IF(Setup!B29&lt;&gt;"",Attendance_Apr!S38,"")</f>
        <v/>
      </c>
      <c r="E22" s="41" t="str">
        <f>IF(Setup!B29&lt;&gt;"",Attendance_Apr!S39,"")</f>
        <v/>
      </c>
      <c r="F22" s="43" t="str">
        <f>IFERROR(IF(Setup!B29&lt;&gt;"",B22/C22,""),"")</f>
        <v/>
      </c>
      <c r="G22" s="42" t="str">
        <f>IF(Setup!B29&lt;&gt;"",MIN(D22,C22),"")</f>
        <v/>
      </c>
      <c r="H22" s="42" t="str">
        <f>IF(Setup!B29&lt;&gt;"",MAX(D22-C22,0),"")</f>
        <v/>
      </c>
      <c r="I22" s="16" t="str">
        <f>IF(Setup!B29&lt;&gt;"",F22*G22,"")</f>
        <v/>
      </c>
      <c r="J22" s="16" t="str">
        <f>IF(Setup!B29&lt;&gt;"",F22*H22*$B4,"")</f>
        <v/>
      </c>
      <c r="K22" s="16" t="str">
        <f>IF(Setup!B29&lt;&gt;"",IF(E22=0,$B5,0),"")</f>
        <v/>
      </c>
      <c r="L22" s="44" t="str">
        <f>IF(Setup!B29&lt;&gt;"",I22+J22+K22,"")</f>
        <v/>
      </c>
      <c r="M22" s="16" t="str">
        <f>IF(Setup!B29&lt;&gt;"",Payroll_Mar!P22,"")</f>
        <v/>
      </c>
      <c r="N22" s="46">
        <v>0</v>
      </c>
      <c r="O22" s="46">
        <v>0</v>
      </c>
      <c r="P22" s="44" t="str">
        <f>IF(Setup!B29&lt;&gt;"",M22+N22-O22,"")</f>
        <v/>
      </c>
      <c r="Q22" s="46">
        <v>0</v>
      </c>
      <c r="R22" s="47" t="str">
        <f>IF(Setup!B29&lt;&gt;"",L22-O22-Q22,"")</f>
        <v/>
      </c>
    </row>
    <row r="23" spans="1:18" ht="21.75" customHeight="1" x14ac:dyDescent="0.3">
      <c r="A23" s="18">
        <f>Setup!B30</f>
        <v>0</v>
      </c>
      <c r="B23" s="48" t="str">
        <f>IF(Setup!B30&lt;&gt;"",Setup!C30,"")</f>
        <v/>
      </c>
      <c r="C23" s="49" t="str">
        <f>IF(Setup!B30&lt;&gt;"",$B3,"")</f>
        <v/>
      </c>
      <c r="D23" s="50" t="str">
        <f>IF(Setup!B30&lt;&gt;"",Attendance_Apr!T38,"")</f>
        <v/>
      </c>
      <c r="E23" s="49" t="str">
        <f>IF(Setup!B30&lt;&gt;"",Attendance_Apr!T39,"")</f>
        <v/>
      </c>
      <c r="F23" s="51" t="str">
        <f>IFERROR(IF(Setup!B30&lt;&gt;"",B23/C23,""),"")</f>
        <v/>
      </c>
      <c r="G23" s="50" t="str">
        <f>IF(Setup!B30&lt;&gt;"",MIN(D23,C23),"")</f>
        <v/>
      </c>
      <c r="H23" s="50" t="str">
        <f>IF(Setup!B30&lt;&gt;"",MAX(D23-C23,0),"")</f>
        <v/>
      </c>
      <c r="I23" s="19" t="str">
        <f>IF(Setup!B30&lt;&gt;"",F23*G23,"")</f>
        <v/>
      </c>
      <c r="J23" s="19" t="str">
        <f>IF(Setup!B30&lt;&gt;"",F23*H23*$B4,"")</f>
        <v/>
      </c>
      <c r="K23" s="19" t="str">
        <f>IF(Setup!B30&lt;&gt;"",IF(E23=0,$B5,0),"")</f>
        <v/>
      </c>
      <c r="L23" s="52" t="str">
        <f>IF(Setup!B30&lt;&gt;"",I23+J23+K23,"")</f>
        <v/>
      </c>
      <c r="M23" s="19" t="str">
        <f>IF(Setup!B30&lt;&gt;"",Payroll_Mar!P23,"")</f>
        <v/>
      </c>
      <c r="N23" s="46">
        <v>0</v>
      </c>
      <c r="O23" s="46">
        <v>0</v>
      </c>
      <c r="P23" s="52" t="str">
        <f>IF(Setup!B30&lt;&gt;"",M23+N23-O23,"")</f>
        <v/>
      </c>
      <c r="Q23" s="46">
        <v>0</v>
      </c>
      <c r="R23" s="47" t="str">
        <f>IF(Setup!B30&lt;&gt;"",L23-O23-Q23,"")</f>
        <v/>
      </c>
    </row>
    <row r="24" spans="1:18" ht="21.75" customHeight="1" x14ac:dyDescent="0.3">
      <c r="A24" s="1">
        <f>Setup!B31</f>
        <v>0</v>
      </c>
      <c r="B24" s="40" t="str">
        <f>IF(Setup!B31&lt;&gt;"",Setup!C31,"")</f>
        <v/>
      </c>
      <c r="C24" s="41" t="str">
        <f>IF(Setup!B31&lt;&gt;"",$B3,"")</f>
        <v/>
      </c>
      <c r="D24" s="42" t="str">
        <f>IF(Setup!B31&lt;&gt;"",Attendance_Apr!U38,"")</f>
        <v/>
      </c>
      <c r="E24" s="41" t="str">
        <f>IF(Setup!B31&lt;&gt;"",Attendance_Apr!U39,"")</f>
        <v/>
      </c>
      <c r="F24" s="43" t="str">
        <f>IFERROR(IF(Setup!B31&lt;&gt;"",B24/C24,""),"")</f>
        <v/>
      </c>
      <c r="G24" s="42" t="str">
        <f>IF(Setup!B31&lt;&gt;"",MIN(D24,C24),"")</f>
        <v/>
      </c>
      <c r="H24" s="42" t="str">
        <f>IF(Setup!B31&lt;&gt;"",MAX(D24-C24,0),"")</f>
        <v/>
      </c>
      <c r="I24" s="16" t="str">
        <f>IF(Setup!B31&lt;&gt;"",F24*G24,"")</f>
        <v/>
      </c>
      <c r="J24" s="16" t="str">
        <f>IF(Setup!B31&lt;&gt;"",F24*H24*$B4,"")</f>
        <v/>
      </c>
      <c r="K24" s="16" t="str">
        <f>IF(Setup!B31&lt;&gt;"",IF(E24=0,$B5,0),"")</f>
        <v/>
      </c>
      <c r="L24" s="44" t="str">
        <f>IF(Setup!B31&lt;&gt;"",I24+J24+K24,"")</f>
        <v/>
      </c>
      <c r="M24" s="16" t="str">
        <f>IF(Setup!B31&lt;&gt;"",Payroll_Mar!P24,"")</f>
        <v/>
      </c>
      <c r="N24" s="46">
        <v>0</v>
      </c>
      <c r="O24" s="46">
        <v>0</v>
      </c>
      <c r="P24" s="44" t="str">
        <f>IF(Setup!B31&lt;&gt;"",M24+N24-O24,"")</f>
        <v/>
      </c>
      <c r="Q24" s="46">
        <v>0</v>
      </c>
      <c r="R24" s="47" t="str">
        <f>IF(Setup!B31&lt;&gt;"",L24-O24-Q24,"")</f>
        <v/>
      </c>
    </row>
    <row r="25" spans="1:18" ht="21.75" customHeight="1" x14ac:dyDescent="0.3">
      <c r="A25" s="18">
        <f>Setup!B32</f>
        <v>0</v>
      </c>
      <c r="B25" s="48" t="str">
        <f>IF(Setup!B32&lt;&gt;"",Setup!C32,"")</f>
        <v/>
      </c>
      <c r="C25" s="49" t="str">
        <f>IF(Setup!B32&lt;&gt;"",$B3,"")</f>
        <v/>
      </c>
      <c r="D25" s="50" t="str">
        <f>IF(Setup!B32&lt;&gt;"",Attendance_Apr!V38,"")</f>
        <v/>
      </c>
      <c r="E25" s="49" t="str">
        <f>IF(Setup!B32&lt;&gt;"",Attendance_Apr!V39,"")</f>
        <v/>
      </c>
      <c r="F25" s="51" t="str">
        <f>IFERROR(IF(Setup!B32&lt;&gt;"",B25/C25,""),"")</f>
        <v/>
      </c>
      <c r="G25" s="50" t="str">
        <f>IF(Setup!B32&lt;&gt;"",MIN(D25,C25),"")</f>
        <v/>
      </c>
      <c r="H25" s="50" t="str">
        <f>IF(Setup!B32&lt;&gt;"",MAX(D25-C25,0),"")</f>
        <v/>
      </c>
      <c r="I25" s="19" t="str">
        <f>IF(Setup!B32&lt;&gt;"",F25*G25,"")</f>
        <v/>
      </c>
      <c r="J25" s="19" t="str">
        <f>IF(Setup!B32&lt;&gt;"",F25*H25*$B4,"")</f>
        <v/>
      </c>
      <c r="K25" s="19" t="str">
        <f>IF(Setup!B32&lt;&gt;"",IF(E25=0,$B5,0),"")</f>
        <v/>
      </c>
      <c r="L25" s="52" t="str">
        <f>IF(Setup!B32&lt;&gt;"",I25+J25+K25,"")</f>
        <v/>
      </c>
      <c r="M25" s="19" t="str">
        <f>IF(Setup!B32&lt;&gt;"",Payroll_Mar!P25,"")</f>
        <v/>
      </c>
      <c r="N25" s="46">
        <v>0</v>
      </c>
      <c r="O25" s="46">
        <v>0</v>
      </c>
      <c r="P25" s="52" t="str">
        <f>IF(Setup!B32&lt;&gt;"",M25+N25-O25,"")</f>
        <v/>
      </c>
      <c r="Q25" s="46">
        <v>0</v>
      </c>
      <c r="R25" s="47" t="str">
        <f>IF(Setup!B32&lt;&gt;"",L25-O25-Q25,"")</f>
        <v/>
      </c>
    </row>
    <row r="26" spans="1:18" ht="21.75" customHeight="1" x14ac:dyDescent="0.3">
      <c r="A26" s="1">
        <f>Setup!B33</f>
        <v>0</v>
      </c>
      <c r="B26" s="40" t="str">
        <f>IF(Setup!B33&lt;&gt;"",Setup!C33,"")</f>
        <v/>
      </c>
      <c r="C26" s="41" t="str">
        <f>IF(Setup!B33&lt;&gt;"",$B3,"")</f>
        <v/>
      </c>
      <c r="D26" s="42" t="str">
        <f>IF(Setup!B33&lt;&gt;"",Attendance_Apr!W38,"")</f>
        <v/>
      </c>
      <c r="E26" s="41" t="str">
        <f>IF(Setup!B33&lt;&gt;"",Attendance_Apr!W39,"")</f>
        <v/>
      </c>
      <c r="F26" s="43" t="str">
        <f>IFERROR(IF(Setup!B33&lt;&gt;"",B26/C26,""),"")</f>
        <v/>
      </c>
      <c r="G26" s="42" t="str">
        <f>IF(Setup!B33&lt;&gt;"",MIN(D26,C26),"")</f>
        <v/>
      </c>
      <c r="H26" s="42" t="str">
        <f>IF(Setup!B33&lt;&gt;"",MAX(D26-C26,0),"")</f>
        <v/>
      </c>
      <c r="I26" s="16" t="str">
        <f>IF(Setup!B33&lt;&gt;"",F26*G26,"")</f>
        <v/>
      </c>
      <c r="J26" s="16" t="str">
        <f>IF(Setup!B33&lt;&gt;"",F26*H26*$B4,"")</f>
        <v/>
      </c>
      <c r="K26" s="16" t="str">
        <f>IF(Setup!B33&lt;&gt;"",IF(E26=0,$B5,0),"")</f>
        <v/>
      </c>
      <c r="L26" s="44" t="str">
        <f>IF(Setup!B33&lt;&gt;"",I26+J26+K26,"")</f>
        <v/>
      </c>
      <c r="M26" s="16" t="str">
        <f>IF(Setup!B33&lt;&gt;"",Payroll_Mar!P26,"")</f>
        <v/>
      </c>
      <c r="N26" s="46">
        <v>0</v>
      </c>
      <c r="O26" s="46">
        <v>0</v>
      </c>
      <c r="P26" s="44" t="str">
        <f>IF(Setup!B33&lt;&gt;"",M26+N26-O26,"")</f>
        <v/>
      </c>
      <c r="Q26" s="46">
        <v>0</v>
      </c>
      <c r="R26" s="47" t="str">
        <f>IF(Setup!B33&lt;&gt;"",L26-O26-Q26,"")</f>
        <v/>
      </c>
    </row>
    <row r="27" spans="1:18" ht="21.75" customHeight="1" x14ac:dyDescent="0.3">
      <c r="A27" s="18">
        <f>Setup!B34</f>
        <v>0</v>
      </c>
      <c r="B27" s="48" t="str">
        <f>IF(Setup!B34&lt;&gt;"",Setup!C34,"")</f>
        <v/>
      </c>
      <c r="C27" s="49" t="str">
        <f>IF(Setup!B34&lt;&gt;"",$B3,"")</f>
        <v/>
      </c>
      <c r="D27" s="50" t="str">
        <f>IF(Setup!B34&lt;&gt;"",Attendance_Apr!X38,"")</f>
        <v/>
      </c>
      <c r="E27" s="49" t="str">
        <f>IF(Setup!B34&lt;&gt;"",Attendance_Apr!X39,"")</f>
        <v/>
      </c>
      <c r="F27" s="51" t="str">
        <f>IFERROR(IF(Setup!B34&lt;&gt;"",B27/C27,""),"")</f>
        <v/>
      </c>
      <c r="G27" s="50" t="str">
        <f>IF(Setup!B34&lt;&gt;"",MIN(D27,C27),"")</f>
        <v/>
      </c>
      <c r="H27" s="50" t="str">
        <f>IF(Setup!B34&lt;&gt;"",MAX(D27-C27,0),"")</f>
        <v/>
      </c>
      <c r="I27" s="19" t="str">
        <f>IF(Setup!B34&lt;&gt;"",F27*G27,"")</f>
        <v/>
      </c>
      <c r="J27" s="19" t="str">
        <f>IF(Setup!B34&lt;&gt;"",F27*H27*$B4,"")</f>
        <v/>
      </c>
      <c r="K27" s="19" t="str">
        <f>IF(Setup!B34&lt;&gt;"",IF(E27=0,$B5,0),"")</f>
        <v/>
      </c>
      <c r="L27" s="52" t="str">
        <f>IF(Setup!B34&lt;&gt;"",I27+J27+K27,"")</f>
        <v/>
      </c>
      <c r="M27" s="19" t="str">
        <f>IF(Setup!B34&lt;&gt;"",Payroll_Mar!P27,"")</f>
        <v/>
      </c>
      <c r="N27" s="46">
        <v>0</v>
      </c>
      <c r="O27" s="46">
        <v>0</v>
      </c>
      <c r="P27" s="52" t="str">
        <f>IF(Setup!B34&lt;&gt;"",M27+N27-O27,"")</f>
        <v/>
      </c>
      <c r="Q27" s="46">
        <v>0</v>
      </c>
      <c r="R27" s="47" t="str">
        <f>IF(Setup!B34&lt;&gt;"",L27-O27-Q27,"")</f>
        <v/>
      </c>
    </row>
    <row r="28" spans="1:18" ht="21.75" customHeight="1" x14ac:dyDescent="0.3">
      <c r="A28" s="1">
        <f>Setup!B35</f>
        <v>0</v>
      </c>
      <c r="B28" s="40" t="str">
        <f>IF(Setup!B35&lt;&gt;"",Setup!C35,"")</f>
        <v/>
      </c>
      <c r="C28" s="41" t="str">
        <f>IF(Setup!B35&lt;&gt;"",$B3,"")</f>
        <v/>
      </c>
      <c r="D28" s="42" t="str">
        <f>IF(Setup!B35&lt;&gt;"",Attendance_Apr!Y38,"")</f>
        <v/>
      </c>
      <c r="E28" s="41" t="str">
        <f>IF(Setup!B35&lt;&gt;"",Attendance_Apr!Y39,"")</f>
        <v/>
      </c>
      <c r="F28" s="43" t="str">
        <f>IFERROR(IF(Setup!B35&lt;&gt;"",B28/C28,""),"")</f>
        <v/>
      </c>
      <c r="G28" s="42" t="str">
        <f>IF(Setup!B35&lt;&gt;"",MIN(D28,C28),"")</f>
        <v/>
      </c>
      <c r="H28" s="42" t="str">
        <f>IF(Setup!B35&lt;&gt;"",MAX(D28-C28,0),"")</f>
        <v/>
      </c>
      <c r="I28" s="16" t="str">
        <f>IF(Setup!B35&lt;&gt;"",F28*G28,"")</f>
        <v/>
      </c>
      <c r="J28" s="16" t="str">
        <f>IF(Setup!B35&lt;&gt;"",F28*H28*$B4,"")</f>
        <v/>
      </c>
      <c r="K28" s="16" t="str">
        <f>IF(Setup!B35&lt;&gt;"",IF(E28=0,$B5,0),"")</f>
        <v/>
      </c>
      <c r="L28" s="44" t="str">
        <f>IF(Setup!B35&lt;&gt;"",I28+J28+K28,"")</f>
        <v/>
      </c>
      <c r="M28" s="16" t="str">
        <f>IF(Setup!B35&lt;&gt;"",Payroll_Mar!P28,"")</f>
        <v/>
      </c>
      <c r="N28" s="46">
        <v>0</v>
      </c>
      <c r="O28" s="46">
        <v>0</v>
      </c>
      <c r="P28" s="44" t="str">
        <f>IF(Setup!B35&lt;&gt;"",M28+N28-O28,"")</f>
        <v/>
      </c>
      <c r="Q28" s="46">
        <v>0</v>
      </c>
      <c r="R28" s="47" t="str">
        <f>IF(Setup!B35&lt;&gt;"",L28-O28-Q28,"")</f>
        <v/>
      </c>
    </row>
    <row r="29" spans="1:18" ht="21.75" customHeight="1" x14ac:dyDescent="0.3">
      <c r="A29" s="18">
        <f>Setup!B36</f>
        <v>0</v>
      </c>
      <c r="B29" s="48" t="str">
        <f>IF(Setup!B36&lt;&gt;"",Setup!C36,"")</f>
        <v/>
      </c>
      <c r="C29" s="49" t="str">
        <f>IF(Setup!B36&lt;&gt;"",$B3,"")</f>
        <v/>
      </c>
      <c r="D29" s="50" t="str">
        <f>IF(Setup!B36&lt;&gt;"",Attendance_Apr!Z38,"")</f>
        <v/>
      </c>
      <c r="E29" s="49" t="str">
        <f>IF(Setup!B36&lt;&gt;"",Attendance_Apr!Z39,"")</f>
        <v/>
      </c>
      <c r="F29" s="51" t="str">
        <f>IFERROR(IF(Setup!B36&lt;&gt;"",B29/C29,""),"")</f>
        <v/>
      </c>
      <c r="G29" s="50" t="str">
        <f>IF(Setup!B36&lt;&gt;"",MIN(D29,C29),"")</f>
        <v/>
      </c>
      <c r="H29" s="50" t="str">
        <f>IF(Setup!B36&lt;&gt;"",MAX(D29-C29,0),"")</f>
        <v/>
      </c>
      <c r="I29" s="19" t="str">
        <f>IF(Setup!B36&lt;&gt;"",F29*G29,"")</f>
        <v/>
      </c>
      <c r="J29" s="19" t="str">
        <f>IF(Setup!B36&lt;&gt;"",F29*H29*$B4,"")</f>
        <v/>
      </c>
      <c r="K29" s="19" t="str">
        <f>IF(Setup!B36&lt;&gt;"",IF(E29=0,$B5,0),"")</f>
        <v/>
      </c>
      <c r="L29" s="52" t="str">
        <f>IF(Setup!B36&lt;&gt;"",I29+J29+K29,"")</f>
        <v/>
      </c>
      <c r="M29" s="19" t="str">
        <f>IF(Setup!B36&lt;&gt;"",Payroll_Mar!P29,"")</f>
        <v/>
      </c>
      <c r="N29" s="46">
        <v>0</v>
      </c>
      <c r="O29" s="46">
        <v>0</v>
      </c>
      <c r="P29" s="52" t="str">
        <f>IF(Setup!B36&lt;&gt;"",M29+N29-O29,"")</f>
        <v/>
      </c>
      <c r="Q29" s="46">
        <v>0</v>
      </c>
      <c r="R29" s="47" t="str">
        <f>IF(Setup!B36&lt;&gt;"",L29-O29-Q29,"")</f>
        <v/>
      </c>
    </row>
    <row r="30" spans="1:18" ht="21.75" customHeight="1" x14ac:dyDescent="0.3">
      <c r="A30" s="1">
        <f>Setup!B37</f>
        <v>0</v>
      </c>
      <c r="B30" s="40" t="str">
        <f>IF(Setup!B37&lt;&gt;"",Setup!C37,"")</f>
        <v/>
      </c>
      <c r="C30" s="41" t="str">
        <f>IF(Setup!B37&lt;&gt;"",$B3,"")</f>
        <v/>
      </c>
      <c r="D30" s="42" t="str">
        <f>IF(Setup!B37&lt;&gt;"",Attendance_Apr!AA38,"")</f>
        <v/>
      </c>
      <c r="E30" s="41" t="str">
        <f>IF(Setup!B37&lt;&gt;"",Attendance_Apr!AA39,"")</f>
        <v/>
      </c>
      <c r="F30" s="43" t="str">
        <f>IFERROR(IF(Setup!B37&lt;&gt;"",B30/C30,""),"")</f>
        <v/>
      </c>
      <c r="G30" s="42" t="str">
        <f>IF(Setup!B37&lt;&gt;"",MIN(D30,C30),"")</f>
        <v/>
      </c>
      <c r="H30" s="42" t="str">
        <f>IF(Setup!B37&lt;&gt;"",MAX(D30-C30,0),"")</f>
        <v/>
      </c>
      <c r="I30" s="16" t="str">
        <f>IF(Setup!B37&lt;&gt;"",F30*G30,"")</f>
        <v/>
      </c>
      <c r="J30" s="16" t="str">
        <f>IF(Setup!B37&lt;&gt;"",F30*H30*$B4,"")</f>
        <v/>
      </c>
      <c r="K30" s="16" t="str">
        <f>IF(Setup!B37&lt;&gt;"",IF(E30=0,$B5,0),"")</f>
        <v/>
      </c>
      <c r="L30" s="44" t="str">
        <f>IF(Setup!B37&lt;&gt;"",I30+J30+K30,"")</f>
        <v/>
      </c>
      <c r="M30" s="16" t="str">
        <f>IF(Setup!B37&lt;&gt;"",Payroll_Mar!P30,"")</f>
        <v/>
      </c>
      <c r="N30" s="46">
        <v>0</v>
      </c>
      <c r="O30" s="46">
        <v>0</v>
      </c>
      <c r="P30" s="44" t="str">
        <f>IF(Setup!B37&lt;&gt;"",M30+N30-O30,"")</f>
        <v/>
      </c>
      <c r="Q30" s="46">
        <v>0</v>
      </c>
      <c r="R30" s="47" t="str">
        <f>IF(Setup!B37&lt;&gt;"",L30-O30-Q30,"")</f>
        <v/>
      </c>
    </row>
    <row r="31" spans="1:18" ht="21.75" customHeight="1" x14ac:dyDescent="0.3">
      <c r="A31" s="18">
        <f>Setup!B38</f>
        <v>0</v>
      </c>
      <c r="B31" s="48" t="str">
        <f>IF(Setup!B38&lt;&gt;"",Setup!C38,"")</f>
        <v/>
      </c>
      <c r="C31" s="49" t="str">
        <f>IF(Setup!B38&lt;&gt;"",$B3,"")</f>
        <v/>
      </c>
      <c r="D31" s="50" t="str">
        <f>IF(Setup!B38&lt;&gt;"",Attendance_Apr!AB38,"")</f>
        <v/>
      </c>
      <c r="E31" s="49" t="str">
        <f>IF(Setup!B38&lt;&gt;"",Attendance_Apr!AB39,"")</f>
        <v/>
      </c>
      <c r="F31" s="51" t="str">
        <f>IFERROR(IF(Setup!B38&lt;&gt;"",B31/C31,""),"")</f>
        <v/>
      </c>
      <c r="G31" s="50" t="str">
        <f>IF(Setup!B38&lt;&gt;"",MIN(D31,C31),"")</f>
        <v/>
      </c>
      <c r="H31" s="50" t="str">
        <f>IF(Setup!B38&lt;&gt;"",MAX(D31-C31,0),"")</f>
        <v/>
      </c>
      <c r="I31" s="19" t="str">
        <f>IF(Setup!B38&lt;&gt;"",F31*G31,"")</f>
        <v/>
      </c>
      <c r="J31" s="19" t="str">
        <f>IF(Setup!B38&lt;&gt;"",F31*H31*$B4,"")</f>
        <v/>
      </c>
      <c r="K31" s="19" t="str">
        <f>IF(Setup!B38&lt;&gt;"",IF(E31=0,$B5,0),"")</f>
        <v/>
      </c>
      <c r="L31" s="52" t="str">
        <f>IF(Setup!B38&lt;&gt;"",I31+J31+K31,"")</f>
        <v/>
      </c>
      <c r="M31" s="19" t="str">
        <f>IF(Setup!B38&lt;&gt;"",Payroll_Mar!P31,"")</f>
        <v/>
      </c>
      <c r="N31" s="46">
        <v>0</v>
      </c>
      <c r="O31" s="46">
        <v>0</v>
      </c>
      <c r="P31" s="52" t="str">
        <f>IF(Setup!B38&lt;&gt;"",M31+N31-O31,"")</f>
        <v/>
      </c>
      <c r="Q31" s="46">
        <v>0</v>
      </c>
      <c r="R31" s="47" t="str">
        <f>IF(Setup!B38&lt;&gt;"",L31-O31-Q31,"")</f>
        <v/>
      </c>
    </row>
    <row r="32" spans="1:18" ht="21.75" customHeight="1" x14ac:dyDescent="0.3">
      <c r="A32" s="1">
        <f>Setup!B39</f>
        <v>0</v>
      </c>
      <c r="B32" s="40" t="str">
        <f>IF(Setup!B39&lt;&gt;"",Setup!C39,"")</f>
        <v/>
      </c>
      <c r="C32" s="41" t="str">
        <f>IF(Setup!B39&lt;&gt;"",$B3,"")</f>
        <v/>
      </c>
      <c r="D32" s="42" t="str">
        <f>IF(Setup!B39&lt;&gt;"",Attendance_Apr!AC38,"")</f>
        <v/>
      </c>
      <c r="E32" s="41" t="str">
        <f>IF(Setup!B39&lt;&gt;"",Attendance_Apr!AC39,"")</f>
        <v/>
      </c>
      <c r="F32" s="43" t="str">
        <f>IFERROR(IF(Setup!B39&lt;&gt;"",B32/C32,""),"")</f>
        <v/>
      </c>
      <c r="G32" s="42" t="str">
        <f>IF(Setup!B39&lt;&gt;"",MIN(D32,C32),"")</f>
        <v/>
      </c>
      <c r="H32" s="42" t="str">
        <f>IF(Setup!B39&lt;&gt;"",MAX(D32-C32,0),"")</f>
        <v/>
      </c>
      <c r="I32" s="16" t="str">
        <f>IF(Setup!B39&lt;&gt;"",F32*G32,"")</f>
        <v/>
      </c>
      <c r="J32" s="16" t="str">
        <f>IF(Setup!B39&lt;&gt;"",F32*H32*$B4,"")</f>
        <v/>
      </c>
      <c r="K32" s="16" t="str">
        <f>IF(Setup!B39&lt;&gt;"",IF(E32=0,$B5,0),"")</f>
        <v/>
      </c>
      <c r="L32" s="44" t="str">
        <f>IF(Setup!B39&lt;&gt;"",I32+J32+K32,"")</f>
        <v/>
      </c>
      <c r="M32" s="16" t="str">
        <f>IF(Setup!B39&lt;&gt;"",Payroll_Mar!P32,"")</f>
        <v/>
      </c>
      <c r="N32" s="46">
        <v>0</v>
      </c>
      <c r="O32" s="46">
        <v>0</v>
      </c>
      <c r="P32" s="44" t="str">
        <f>IF(Setup!B39&lt;&gt;"",M32+N32-O32,"")</f>
        <v/>
      </c>
      <c r="Q32" s="46">
        <v>0</v>
      </c>
      <c r="R32" s="47" t="str">
        <f>IF(Setup!B39&lt;&gt;"",L32-O32-Q32,"")</f>
        <v/>
      </c>
    </row>
    <row r="33" spans="1:18" ht="21.75" customHeight="1" x14ac:dyDescent="0.3">
      <c r="A33" s="18">
        <f>Setup!B40</f>
        <v>0</v>
      </c>
      <c r="B33" s="48" t="str">
        <f>IF(Setup!B40&lt;&gt;"",Setup!C40,"")</f>
        <v/>
      </c>
      <c r="C33" s="49" t="str">
        <f>IF(Setup!B40&lt;&gt;"",$B3,"")</f>
        <v/>
      </c>
      <c r="D33" s="50" t="str">
        <f>IF(Setup!B40&lt;&gt;"",Attendance_Apr!AD38,"")</f>
        <v/>
      </c>
      <c r="E33" s="49" t="str">
        <f>IF(Setup!B40&lt;&gt;"",Attendance_Apr!AD39,"")</f>
        <v/>
      </c>
      <c r="F33" s="51" t="str">
        <f>IFERROR(IF(Setup!B40&lt;&gt;"",B33/C33,""),"")</f>
        <v/>
      </c>
      <c r="G33" s="50" t="str">
        <f>IF(Setup!B40&lt;&gt;"",MIN(D33,C33),"")</f>
        <v/>
      </c>
      <c r="H33" s="50" t="str">
        <f>IF(Setup!B40&lt;&gt;"",MAX(D33-C33,0),"")</f>
        <v/>
      </c>
      <c r="I33" s="19" t="str">
        <f>IF(Setup!B40&lt;&gt;"",F33*G33,"")</f>
        <v/>
      </c>
      <c r="J33" s="19" t="str">
        <f>IF(Setup!B40&lt;&gt;"",F33*H33*$B4,"")</f>
        <v/>
      </c>
      <c r="K33" s="19" t="str">
        <f>IF(Setup!B40&lt;&gt;"",IF(E33=0,$B5,0),"")</f>
        <v/>
      </c>
      <c r="L33" s="52" t="str">
        <f>IF(Setup!B40&lt;&gt;"",I33+J33+K33,"")</f>
        <v/>
      </c>
      <c r="M33" s="19" t="str">
        <f>IF(Setup!B40&lt;&gt;"",Payroll_Mar!P33,"")</f>
        <v/>
      </c>
      <c r="N33" s="46">
        <v>0</v>
      </c>
      <c r="O33" s="46">
        <v>0</v>
      </c>
      <c r="P33" s="52" t="str">
        <f>IF(Setup!B40&lt;&gt;"",M33+N33-O33,"")</f>
        <v/>
      </c>
      <c r="Q33" s="46">
        <v>0</v>
      </c>
      <c r="R33" s="47" t="str">
        <f>IF(Setup!B40&lt;&gt;"",L33-O33-Q33,"")</f>
        <v/>
      </c>
    </row>
    <row r="34" spans="1:18" ht="21.75" customHeight="1" x14ac:dyDescent="0.3">
      <c r="A34" s="1">
        <f>Setup!B41</f>
        <v>0</v>
      </c>
      <c r="B34" s="40" t="str">
        <f>IF(Setup!B41&lt;&gt;"",Setup!C41,"")</f>
        <v/>
      </c>
      <c r="C34" s="41" t="str">
        <f>IF(Setup!B41&lt;&gt;"",$B3,"")</f>
        <v/>
      </c>
      <c r="D34" s="42" t="str">
        <f>IF(Setup!B41&lt;&gt;"",Attendance_Apr!AE38,"")</f>
        <v/>
      </c>
      <c r="E34" s="41" t="str">
        <f>IF(Setup!B41&lt;&gt;"",Attendance_Apr!AE39,"")</f>
        <v/>
      </c>
      <c r="F34" s="43" t="str">
        <f>IFERROR(IF(Setup!B41&lt;&gt;"",B34/C34,""),"")</f>
        <v/>
      </c>
      <c r="G34" s="42" t="str">
        <f>IF(Setup!B41&lt;&gt;"",MIN(D34,C34),"")</f>
        <v/>
      </c>
      <c r="H34" s="42" t="str">
        <f>IF(Setup!B41&lt;&gt;"",MAX(D34-C34,0),"")</f>
        <v/>
      </c>
      <c r="I34" s="16" t="str">
        <f>IF(Setup!B41&lt;&gt;"",F34*G34,"")</f>
        <v/>
      </c>
      <c r="J34" s="16" t="str">
        <f>IF(Setup!B41&lt;&gt;"",F34*H34*$B4,"")</f>
        <v/>
      </c>
      <c r="K34" s="16" t="str">
        <f>IF(Setup!B41&lt;&gt;"",IF(E34=0,$B5,0),"")</f>
        <v/>
      </c>
      <c r="L34" s="44" t="str">
        <f>IF(Setup!B41&lt;&gt;"",I34+J34+K34,"")</f>
        <v/>
      </c>
      <c r="M34" s="16" t="str">
        <f>IF(Setup!B41&lt;&gt;"",Payroll_Mar!P34,"")</f>
        <v/>
      </c>
      <c r="N34" s="46">
        <v>0</v>
      </c>
      <c r="O34" s="46">
        <v>0</v>
      </c>
      <c r="P34" s="44" t="str">
        <f>IF(Setup!B41&lt;&gt;"",M34+N34-O34,"")</f>
        <v/>
      </c>
      <c r="Q34" s="46">
        <v>0</v>
      </c>
      <c r="R34" s="47" t="str">
        <f>IF(Setup!B41&lt;&gt;"",L34-O34-Q34,"")</f>
        <v/>
      </c>
    </row>
    <row r="35" spans="1:18" ht="21.75" customHeight="1" x14ac:dyDescent="0.3">
      <c r="A35" s="18">
        <f>Setup!B42</f>
        <v>0</v>
      </c>
      <c r="B35" s="48" t="str">
        <f>IF(Setup!B42&lt;&gt;"",Setup!C42,"")</f>
        <v/>
      </c>
      <c r="C35" s="49" t="str">
        <f>IF(Setup!B42&lt;&gt;"",$B3,"")</f>
        <v/>
      </c>
      <c r="D35" s="50" t="str">
        <f>IF(Setup!B42&lt;&gt;"",Attendance_Apr!AF38,"")</f>
        <v/>
      </c>
      <c r="E35" s="49" t="str">
        <f>IF(Setup!B42&lt;&gt;"",Attendance_Apr!AF39,"")</f>
        <v/>
      </c>
      <c r="F35" s="51" t="str">
        <f>IFERROR(IF(Setup!B42&lt;&gt;"",B35/C35,""),"")</f>
        <v/>
      </c>
      <c r="G35" s="50" t="str">
        <f>IF(Setup!B42&lt;&gt;"",MIN(D35,C35),"")</f>
        <v/>
      </c>
      <c r="H35" s="50" t="str">
        <f>IF(Setup!B42&lt;&gt;"",MAX(D35-C35,0),"")</f>
        <v/>
      </c>
      <c r="I35" s="19" t="str">
        <f>IF(Setup!B42&lt;&gt;"",F35*G35,"")</f>
        <v/>
      </c>
      <c r="J35" s="19" t="str">
        <f>IF(Setup!B42&lt;&gt;"",F35*H35*$B4,"")</f>
        <v/>
      </c>
      <c r="K35" s="19" t="str">
        <f>IF(Setup!B42&lt;&gt;"",IF(E35=0,$B5,0),"")</f>
        <v/>
      </c>
      <c r="L35" s="52" t="str">
        <f>IF(Setup!B42&lt;&gt;"",I35+J35+K35,"")</f>
        <v/>
      </c>
      <c r="M35" s="19" t="str">
        <f>IF(Setup!B42&lt;&gt;"",Payroll_Mar!P35,"")</f>
        <v/>
      </c>
      <c r="N35" s="46">
        <v>0</v>
      </c>
      <c r="O35" s="46">
        <v>0</v>
      </c>
      <c r="P35" s="52" t="str">
        <f>IF(Setup!B42&lt;&gt;"",M35+N35-O35,"")</f>
        <v/>
      </c>
      <c r="Q35" s="46">
        <v>0</v>
      </c>
      <c r="R35" s="47" t="str">
        <f>IF(Setup!B42&lt;&gt;"",L35-O35-Q35,"")</f>
        <v/>
      </c>
    </row>
    <row r="36" spans="1:18" ht="21.75" customHeight="1" x14ac:dyDescent="0.3">
      <c r="A36" s="1">
        <f>Setup!B43</f>
        <v>0</v>
      </c>
      <c r="B36" s="40" t="str">
        <f>IF(Setup!B43&lt;&gt;"",Setup!C43,"")</f>
        <v/>
      </c>
      <c r="C36" s="41" t="str">
        <f>IF(Setup!B43&lt;&gt;"",$B3,"")</f>
        <v/>
      </c>
      <c r="D36" s="42" t="str">
        <f>IF(Setup!B43&lt;&gt;"",Attendance_Apr!AG38,"")</f>
        <v/>
      </c>
      <c r="E36" s="41" t="str">
        <f>IF(Setup!B43&lt;&gt;"",Attendance_Apr!AG39,"")</f>
        <v/>
      </c>
      <c r="F36" s="43" t="str">
        <f>IFERROR(IF(Setup!B43&lt;&gt;"",B36/C36,""),"")</f>
        <v/>
      </c>
      <c r="G36" s="42" t="str">
        <f>IF(Setup!B43&lt;&gt;"",MIN(D36,C36),"")</f>
        <v/>
      </c>
      <c r="H36" s="42" t="str">
        <f>IF(Setup!B43&lt;&gt;"",MAX(D36-C36,0),"")</f>
        <v/>
      </c>
      <c r="I36" s="16" t="str">
        <f>IF(Setup!B43&lt;&gt;"",F36*G36,"")</f>
        <v/>
      </c>
      <c r="J36" s="16" t="str">
        <f>IF(Setup!B43&lt;&gt;"",F36*H36*$B4,"")</f>
        <v/>
      </c>
      <c r="K36" s="16" t="str">
        <f>IF(Setup!B43&lt;&gt;"",IF(E36=0,$B5,0),"")</f>
        <v/>
      </c>
      <c r="L36" s="44" t="str">
        <f>IF(Setup!B43&lt;&gt;"",I36+J36+K36,"")</f>
        <v/>
      </c>
      <c r="M36" s="16" t="str">
        <f>IF(Setup!B43&lt;&gt;"",Payroll_Mar!P36,"")</f>
        <v/>
      </c>
      <c r="N36" s="46">
        <v>0</v>
      </c>
      <c r="O36" s="46">
        <v>0</v>
      </c>
      <c r="P36" s="44" t="str">
        <f>IF(Setup!B43&lt;&gt;"",M36+N36-O36,"")</f>
        <v/>
      </c>
      <c r="Q36" s="46">
        <v>0</v>
      </c>
      <c r="R36" s="47" t="str">
        <f>IF(Setup!B43&lt;&gt;"",L36-O36-Q36,"")</f>
        <v/>
      </c>
    </row>
    <row r="37" spans="1:18" ht="21.75" customHeight="1" x14ac:dyDescent="0.3">
      <c r="A37" s="18">
        <f>Setup!B44</f>
        <v>0</v>
      </c>
      <c r="B37" s="48" t="str">
        <f>IF(Setup!B44&lt;&gt;"",Setup!C44,"")</f>
        <v/>
      </c>
      <c r="C37" s="49" t="str">
        <f>IF(Setup!B44&lt;&gt;"",$B3,"")</f>
        <v/>
      </c>
      <c r="D37" s="50" t="str">
        <f>IF(Setup!B44&lt;&gt;"",Attendance_Apr!AH38,"")</f>
        <v/>
      </c>
      <c r="E37" s="49" t="str">
        <f>IF(Setup!B44&lt;&gt;"",Attendance_Apr!AH39,"")</f>
        <v/>
      </c>
      <c r="F37" s="51" t="str">
        <f>IFERROR(IF(Setup!B44&lt;&gt;"",B37/C37,""),"")</f>
        <v/>
      </c>
      <c r="G37" s="50" t="str">
        <f>IF(Setup!B44&lt;&gt;"",MIN(D37,C37),"")</f>
        <v/>
      </c>
      <c r="H37" s="50" t="str">
        <f>IF(Setup!B44&lt;&gt;"",MAX(D37-C37,0),"")</f>
        <v/>
      </c>
      <c r="I37" s="19" t="str">
        <f>IF(Setup!B44&lt;&gt;"",F37*G37,"")</f>
        <v/>
      </c>
      <c r="J37" s="19" t="str">
        <f>IF(Setup!B44&lt;&gt;"",F37*H37*$B4,"")</f>
        <v/>
      </c>
      <c r="K37" s="19" t="str">
        <f>IF(Setup!B44&lt;&gt;"",IF(E37=0,$B5,0),"")</f>
        <v/>
      </c>
      <c r="L37" s="52" t="str">
        <f>IF(Setup!B44&lt;&gt;"",I37+J37+K37,"")</f>
        <v/>
      </c>
      <c r="M37" s="19" t="str">
        <f>IF(Setup!B44&lt;&gt;"",Payroll_Mar!P37,"")</f>
        <v/>
      </c>
      <c r="N37" s="46">
        <v>0</v>
      </c>
      <c r="O37" s="46">
        <v>0</v>
      </c>
      <c r="P37" s="52" t="str">
        <f>IF(Setup!B44&lt;&gt;"",M37+N37-O37,"")</f>
        <v/>
      </c>
      <c r="Q37" s="46">
        <v>0</v>
      </c>
      <c r="R37" s="47" t="str">
        <f>IF(Setup!B44&lt;&gt;"",L37-O37-Q37,"")</f>
        <v/>
      </c>
    </row>
    <row r="38" spans="1:18" ht="25.5" customHeight="1" x14ac:dyDescent="0.3">
      <c r="A38" s="55" t="s">
        <v>113</v>
      </c>
      <c r="B38" s="55"/>
      <c r="C38" s="17">
        <f>SUM(C8:C37)</f>
        <v>2912</v>
      </c>
      <c r="D38" s="36">
        <f>SUM(D8:D37)</f>
        <v>2563.38</v>
      </c>
      <c r="E38" s="17">
        <f>SUM(E8:E37)</f>
        <v>0</v>
      </c>
      <c r="F38" s="17"/>
      <c r="G38" s="36">
        <f t="shared" ref="G38:R38" si="0">SUM(G8:G37)</f>
        <v>2555.0100000000002</v>
      </c>
      <c r="H38" s="36">
        <f t="shared" si="0"/>
        <v>8.3700000000000045</v>
      </c>
      <c r="I38" s="17">
        <f t="shared" si="0"/>
        <v>439037.98076923075</v>
      </c>
      <c r="J38" s="17">
        <f t="shared" si="0"/>
        <v>2902.2836538461561</v>
      </c>
      <c r="K38" s="17">
        <f t="shared" si="0"/>
        <v>0</v>
      </c>
      <c r="L38" s="17">
        <f t="shared" si="0"/>
        <v>441940.26442307694</v>
      </c>
      <c r="M38" s="17">
        <f t="shared" si="0"/>
        <v>31000</v>
      </c>
      <c r="N38" s="17">
        <f t="shared" si="0"/>
        <v>178500</v>
      </c>
      <c r="O38" s="17">
        <f t="shared" si="0"/>
        <v>173000</v>
      </c>
      <c r="P38" s="17">
        <f t="shared" si="0"/>
        <v>36500</v>
      </c>
      <c r="Q38" s="17">
        <f t="shared" si="0"/>
        <v>0</v>
      </c>
      <c r="R38" s="17">
        <f t="shared" si="0"/>
        <v>268940.26442307688</v>
      </c>
    </row>
    <row r="40" spans="1:18" ht="19.5" customHeight="1" x14ac:dyDescent="0.3">
      <c r="A40" s="56" t="s">
        <v>114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</sheetData>
  <mergeCells count="3">
    <mergeCell ref="A1:R1"/>
    <mergeCell ref="A38:B38"/>
    <mergeCell ref="A40:R40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6600"/>
  </sheetPr>
  <dimension ref="A1:R40"/>
  <sheetViews>
    <sheetView showGridLines="0" topLeftCell="E1" zoomScaleNormal="100" workbookViewId="0">
      <pane ySplit="7" topLeftCell="A8" activePane="bottomLeft" state="frozen"/>
      <selection pane="bottomLeft" activeCell="P8" sqref="P8"/>
    </sheetView>
  </sheetViews>
  <sheetFormatPr defaultColWidth="8.5546875" defaultRowHeight="14.4" x14ac:dyDescent="0.3"/>
  <cols>
    <col min="1" max="1" width="22" customWidth="1"/>
    <col min="2" max="2" width="15" customWidth="1"/>
    <col min="3" max="4" width="11" customWidth="1"/>
    <col min="5" max="5" width="10" customWidth="1"/>
    <col min="6" max="7" width="12" customWidth="1"/>
    <col min="8" max="8" width="10" customWidth="1"/>
    <col min="9" max="9" width="14" customWidth="1"/>
    <col min="10" max="10" width="13" customWidth="1"/>
    <col min="11" max="11" width="16" customWidth="1"/>
    <col min="12" max="12" width="14" customWidth="1"/>
    <col min="13" max="16" width="12" customWidth="1"/>
    <col min="17" max="17" width="15" customWidth="1"/>
    <col min="18" max="18" width="14" customWidth="1"/>
  </cols>
  <sheetData>
    <row r="1" spans="1:18" ht="31.5" customHeight="1" x14ac:dyDescent="0.3">
      <c r="A1" s="54" t="s">
        <v>121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1" t="s">
        <v>93</v>
      </c>
      <c r="B2" s="10" t="s">
        <v>122</v>
      </c>
    </row>
    <row r="3" spans="1:18" ht="19.5" customHeight="1" x14ac:dyDescent="0.3">
      <c r="A3" s="1" t="s">
        <v>95</v>
      </c>
      <c r="B3" s="10">
        <v>208</v>
      </c>
    </row>
    <row r="4" spans="1:18" ht="19.5" customHeight="1" x14ac:dyDescent="0.3">
      <c r="A4" s="1" t="s">
        <v>14</v>
      </c>
      <c r="B4" s="38">
        <f>Setup!B9</f>
        <v>1.5</v>
      </c>
    </row>
    <row r="5" spans="1:18" ht="19.5" customHeight="1" x14ac:dyDescent="0.3">
      <c r="A5" s="1" t="s">
        <v>16</v>
      </c>
      <c r="B5" s="12">
        <f>Setup!B10</f>
        <v>0</v>
      </c>
    </row>
    <row r="7" spans="1:18" ht="36" customHeight="1" x14ac:dyDescent="0.3">
      <c r="A7" s="39" t="s">
        <v>37</v>
      </c>
      <c r="B7" s="39" t="s">
        <v>96</v>
      </c>
      <c r="C7" s="39" t="s">
        <v>97</v>
      </c>
      <c r="D7" s="39" t="s">
        <v>98</v>
      </c>
      <c r="E7" s="39" t="s">
        <v>99</v>
      </c>
      <c r="F7" s="39" t="s">
        <v>100</v>
      </c>
      <c r="G7" s="39" t="s">
        <v>101</v>
      </c>
      <c r="H7" s="39" t="s">
        <v>102</v>
      </c>
      <c r="I7" s="21" t="s">
        <v>103</v>
      </c>
      <c r="J7" s="21" t="s">
        <v>104</v>
      </c>
      <c r="K7" s="21" t="s">
        <v>105</v>
      </c>
      <c r="L7" s="21" t="s">
        <v>106</v>
      </c>
      <c r="M7" s="21" t="s">
        <v>107</v>
      </c>
      <c r="N7" s="21" t="s">
        <v>108</v>
      </c>
      <c r="O7" s="21" t="s">
        <v>109</v>
      </c>
      <c r="P7" s="21" t="s">
        <v>110</v>
      </c>
      <c r="Q7" s="21" t="s">
        <v>111</v>
      </c>
      <c r="R7" s="21" t="s">
        <v>112</v>
      </c>
    </row>
    <row r="8" spans="1:18" ht="21.75" customHeight="1" x14ac:dyDescent="0.3">
      <c r="A8" s="1" t="str">
        <f>Setup!B15</f>
        <v>Sheraz</v>
      </c>
      <c r="B8" s="40">
        <f>IF(Setup!B15&lt;&gt;"",Setup!C15,"")</f>
        <v>38000</v>
      </c>
      <c r="C8" s="41">
        <f>IF(Setup!B15&lt;&gt;"",$B3,"")</f>
        <v>208</v>
      </c>
      <c r="D8" s="42">
        <f>IF(Setup!B15&lt;&gt;"",Attendance_May!E39,"")</f>
        <v>192.65</v>
      </c>
      <c r="E8" s="41">
        <f>IF(Setup!B15&lt;&gt;"",Attendance_May!E40,"")</f>
        <v>0</v>
      </c>
      <c r="F8" s="43">
        <f>IFERROR(IF(Setup!B15&lt;&gt;"",B8/C8,""),"")</f>
        <v>182.69230769230768</v>
      </c>
      <c r="G8" s="42">
        <f>IF(Setup!B15&lt;&gt;"",MIN(D8,C8),"")</f>
        <v>192.65</v>
      </c>
      <c r="H8" s="42">
        <f>IF(Setup!B15&lt;&gt;"",MAX(D8-C8,0),"")</f>
        <v>0</v>
      </c>
      <c r="I8" s="16">
        <f>IF(Setup!B15&lt;&gt;"",F8*G8,"")</f>
        <v>35195.673076923078</v>
      </c>
      <c r="J8" s="16">
        <f>IF(Setup!B15&lt;&gt;"",F8*H8*$B4,"")</f>
        <v>0</v>
      </c>
      <c r="K8" s="16">
        <f>IF(Setup!B15&lt;&gt;"",IF(E8=0,$B5,0),"")</f>
        <v>0</v>
      </c>
      <c r="L8" s="44">
        <f>IF(Setup!B15&lt;&gt;"",I8+J8+K8,"")</f>
        <v>35195.673076923078</v>
      </c>
      <c r="M8" s="16">
        <f>IF(Setup!B15&lt;&gt;"",Payroll_Apr!P8,"")</f>
        <v>0</v>
      </c>
      <c r="N8" s="46">
        <v>40000</v>
      </c>
      <c r="O8" s="46">
        <v>30000</v>
      </c>
      <c r="P8" s="44">
        <f>IF(Setup!B15&lt;&gt;"",M8+N8-O8,"")</f>
        <v>10000</v>
      </c>
      <c r="Q8" s="46">
        <v>0</v>
      </c>
      <c r="R8" s="47">
        <f>IF(Setup!B15&lt;&gt;"",L8-O8-Q8,"")</f>
        <v>5195.673076923078</v>
      </c>
    </row>
    <row r="9" spans="1:18" ht="21.75" customHeight="1" x14ac:dyDescent="0.3">
      <c r="A9" s="18" t="str">
        <f>Setup!B16</f>
        <v>Zain</v>
      </c>
      <c r="B9" s="48">
        <f>IF(Setup!B16&lt;&gt;"",Setup!C16,"")</f>
        <v>53000</v>
      </c>
      <c r="C9" s="49">
        <f>IF(Setup!B16&lt;&gt;"",$B3,"")</f>
        <v>208</v>
      </c>
      <c r="D9" s="50">
        <f>IF(Setup!B16&lt;&gt;"",Attendance_May!F39,"")</f>
        <v>208</v>
      </c>
      <c r="E9" s="49">
        <f>IF(Setup!B16&lt;&gt;"",Attendance_May!F40,"")</f>
        <v>0</v>
      </c>
      <c r="F9" s="51">
        <f>IFERROR(IF(Setup!B16&lt;&gt;"",B9/C9,""),"")</f>
        <v>254.80769230769232</v>
      </c>
      <c r="G9" s="50">
        <f>IF(Setup!B16&lt;&gt;"",MIN(D9,C9),"")</f>
        <v>208</v>
      </c>
      <c r="H9" s="50">
        <f>IF(Setup!B16&lt;&gt;"",MAX(D9-C9,0),"")</f>
        <v>0</v>
      </c>
      <c r="I9" s="19">
        <f>IF(Setup!B16&lt;&gt;"",F9*G9,"")</f>
        <v>53000</v>
      </c>
      <c r="J9" s="19">
        <f>IF(Setup!B16&lt;&gt;"",F9*H9*$B4,"")</f>
        <v>0</v>
      </c>
      <c r="K9" s="19">
        <f>IF(Setup!B16&lt;&gt;"",IF(E9=0,$B5,0),"")</f>
        <v>0</v>
      </c>
      <c r="L9" s="52">
        <f>IF(Setup!B16&lt;&gt;"",I9+J9+K9,"")</f>
        <v>53000</v>
      </c>
      <c r="M9" s="19">
        <f>IF(Setup!B16&lt;&gt;"",Payroll_Apr!P9,"")</f>
        <v>0</v>
      </c>
      <c r="N9" s="46">
        <v>50000</v>
      </c>
      <c r="O9" s="46">
        <v>50000</v>
      </c>
      <c r="P9" s="52">
        <f>IF(Setup!B16&lt;&gt;"",M9+N9-O9,"")</f>
        <v>0</v>
      </c>
      <c r="Q9" s="46">
        <v>0</v>
      </c>
      <c r="R9" s="47">
        <f>IF(Setup!B16&lt;&gt;"",L9-O9-Q9,"")</f>
        <v>3000</v>
      </c>
    </row>
    <row r="10" spans="1:18" ht="21.75" customHeight="1" x14ac:dyDescent="0.3">
      <c r="A10" s="1" t="str">
        <f>Setup!B17</f>
        <v>Yousaf</v>
      </c>
      <c r="B10" s="40">
        <f>IF(Setup!B17&lt;&gt;"",Setup!C17,"")</f>
        <v>28000</v>
      </c>
      <c r="C10" s="41">
        <f>IF(Setup!B17&lt;&gt;"",$B3,"")</f>
        <v>208</v>
      </c>
      <c r="D10" s="42">
        <f>IF(Setup!B17&lt;&gt;"",Attendance_May!G39,"")</f>
        <v>192.3</v>
      </c>
      <c r="E10" s="41">
        <f>IF(Setup!B17&lt;&gt;"",Attendance_May!G40,"")</f>
        <v>0</v>
      </c>
      <c r="F10" s="43">
        <f>IFERROR(IF(Setup!B17&lt;&gt;"",B10/C10,""),"")</f>
        <v>134.61538461538461</v>
      </c>
      <c r="G10" s="42">
        <f>IF(Setup!B17&lt;&gt;"",MIN(D10,C10),"")</f>
        <v>192.3</v>
      </c>
      <c r="H10" s="42">
        <f>IF(Setup!B17&lt;&gt;"",MAX(D10-C10,0),"")</f>
        <v>0</v>
      </c>
      <c r="I10" s="16">
        <f>IF(Setup!B17&lt;&gt;"",F10*G10,"")</f>
        <v>25886.538461538461</v>
      </c>
      <c r="J10" s="16">
        <f>IF(Setup!B17&lt;&gt;"",F10*H10*$B4,"")</f>
        <v>0</v>
      </c>
      <c r="K10" s="16">
        <f>IF(Setup!B17&lt;&gt;"",IF(E10=0,$B5,0),"")</f>
        <v>0</v>
      </c>
      <c r="L10" s="44">
        <f>IF(Setup!B17&lt;&gt;"",I10+J10+K10,"")</f>
        <v>25886.538461538461</v>
      </c>
      <c r="M10" s="16">
        <f>IF(Setup!B17&lt;&gt;"",Payroll_Apr!P10,"")</f>
        <v>0</v>
      </c>
      <c r="N10" s="46">
        <v>20000</v>
      </c>
      <c r="O10" s="46">
        <v>20000</v>
      </c>
      <c r="P10" s="44">
        <f>IF(Setup!B17&lt;&gt;"",M10+N10-O10,"")</f>
        <v>0</v>
      </c>
      <c r="Q10" s="46">
        <v>0</v>
      </c>
      <c r="R10" s="47">
        <f>IF(Setup!B17&lt;&gt;"",L10-O10-Q10,"")</f>
        <v>5886.538461538461</v>
      </c>
    </row>
    <row r="11" spans="1:18" ht="21.75" customHeight="1" x14ac:dyDescent="0.3">
      <c r="A11" s="18" t="str">
        <f>Setup!B18</f>
        <v>Hamza</v>
      </c>
      <c r="B11" s="48">
        <f>IF(Setup!B18&lt;&gt;"",Setup!C18,"")</f>
        <v>25000</v>
      </c>
      <c r="C11" s="49">
        <f>IF(Setup!B18&lt;&gt;"",$B3,"")</f>
        <v>208</v>
      </c>
      <c r="D11" s="50">
        <f>IF(Setup!B18&lt;&gt;"",Attendance_May!H39,"")</f>
        <v>182.04999999999998</v>
      </c>
      <c r="E11" s="49">
        <f>IF(Setup!B18&lt;&gt;"",Attendance_May!H40,"")</f>
        <v>0</v>
      </c>
      <c r="F11" s="51">
        <f>IFERROR(IF(Setup!B18&lt;&gt;"",B11/C11,""),"")</f>
        <v>120.19230769230769</v>
      </c>
      <c r="G11" s="50">
        <f>IF(Setup!B18&lt;&gt;"",MIN(D11,C11),"")</f>
        <v>182.04999999999998</v>
      </c>
      <c r="H11" s="50">
        <f>IF(Setup!B18&lt;&gt;"",MAX(D11-C11,0),"")</f>
        <v>0</v>
      </c>
      <c r="I11" s="19">
        <f>IF(Setup!B18&lt;&gt;"",F11*G11,"")</f>
        <v>21881.009615384613</v>
      </c>
      <c r="J11" s="19">
        <f>IF(Setup!B18&lt;&gt;"",F11*H11*$B4,"")</f>
        <v>0</v>
      </c>
      <c r="K11" s="19">
        <f>IF(Setup!B18&lt;&gt;"",IF(E11=0,$B5,0),"")</f>
        <v>0</v>
      </c>
      <c r="L11" s="52">
        <f>IF(Setup!B18&lt;&gt;"",I11+J11+K11,"")</f>
        <v>21881.009615384613</v>
      </c>
      <c r="M11" s="19">
        <f>IF(Setup!B18&lt;&gt;"",Payroll_Apr!P11,"")</f>
        <v>18500</v>
      </c>
      <c r="N11" s="46">
        <v>22500</v>
      </c>
      <c r="O11" s="46">
        <v>21881</v>
      </c>
      <c r="P11" s="52">
        <f>IF(Setup!B18&lt;&gt;"",M11+N11-O11,"")</f>
        <v>19119</v>
      </c>
      <c r="Q11" s="46">
        <v>0</v>
      </c>
      <c r="R11" s="47">
        <f>IF(Setup!B18&lt;&gt;"",L11-O11-Q11,"")</f>
        <v>9.6153846134257037E-3</v>
      </c>
    </row>
    <row r="12" spans="1:18" ht="21.75" customHeight="1" x14ac:dyDescent="0.3">
      <c r="A12" s="1" t="str">
        <f>Setup!B19</f>
        <v>Amjad</v>
      </c>
      <c r="B12" s="40">
        <f>IF(Setup!B19&lt;&gt;"",Setup!C19,"")</f>
        <v>25000</v>
      </c>
      <c r="C12" s="41">
        <f>IF(Setup!B19&lt;&gt;"",$B3,"")</f>
        <v>208</v>
      </c>
      <c r="D12" s="42">
        <f>IF(Setup!B19&lt;&gt;"",Attendance_May!I39,"")</f>
        <v>173.54999999999998</v>
      </c>
      <c r="E12" s="41">
        <f>IF(Setup!B19&lt;&gt;"",Attendance_May!I40,"")</f>
        <v>0</v>
      </c>
      <c r="F12" s="43">
        <f>IFERROR(IF(Setup!B19&lt;&gt;"",B12/C12,""),"")</f>
        <v>120.19230769230769</v>
      </c>
      <c r="G12" s="42">
        <f>IF(Setup!B19&lt;&gt;"",MIN(D12,C12),"")</f>
        <v>173.54999999999998</v>
      </c>
      <c r="H12" s="42">
        <f>IF(Setup!B19&lt;&gt;"",MAX(D12-C12,0),"")</f>
        <v>0</v>
      </c>
      <c r="I12" s="16">
        <f>IF(Setup!B19&lt;&gt;"",F12*G12,"")</f>
        <v>20859.374999999996</v>
      </c>
      <c r="J12" s="16">
        <f>IF(Setup!B19&lt;&gt;"",F12*H12*$B4,"")</f>
        <v>0</v>
      </c>
      <c r="K12" s="16">
        <f>IF(Setup!B19&lt;&gt;"",IF(E12=0,$B5,0),"")</f>
        <v>0</v>
      </c>
      <c r="L12" s="44">
        <f>IF(Setup!B19&lt;&gt;"",I12+J12+K12,"")</f>
        <v>20859.374999999996</v>
      </c>
      <c r="M12" s="16">
        <f>IF(Setup!B19&lt;&gt;"",Payroll_Apr!P12,"")</f>
        <v>0</v>
      </c>
      <c r="N12" s="46">
        <v>13000</v>
      </c>
      <c r="O12" s="46">
        <v>13000</v>
      </c>
      <c r="P12" s="44">
        <f>IF(Setup!B19&lt;&gt;"",M12+N12-O12,"")</f>
        <v>0</v>
      </c>
      <c r="Q12" s="46">
        <v>0</v>
      </c>
      <c r="R12" s="47">
        <f>IF(Setup!B19&lt;&gt;"",L12-O12-Q12,"")</f>
        <v>7859.3749999999964</v>
      </c>
    </row>
    <row r="13" spans="1:18" ht="21.75" customHeight="1" x14ac:dyDescent="0.3">
      <c r="A13" s="18" t="str">
        <f>Setup!B20</f>
        <v>Tanveer</v>
      </c>
      <c r="B13" s="48">
        <f>IF(Setup!B20&lt;&gt;"",Setup!C20,"")</f>
        <v>25000</v>
      </c>
      <c r="C13" s="49">
        <f>IF(Setup!B20&lt;&gt;"",$B3,"")</f>
        <v>208</v>
      </c>
      <c r="D13" s="50">
        <f>IF(Setup!B20&lt;&gt;"",Attendance_May!J39,"")</f>
        <v>208</v>
      </c>
      <c r="E13" s="49">
        <f>IF(Setup!B20&lt;&gt;"",Attendance_May!J40,"")</f>
        <v>0</v>
      </c>
      <c r="F13" s="51">
        <f>IFERROR(IF(Setup!B20&lt;&gt;"",B13/C13,""),"")</f>
        <v>120.19230769230769</v>
      </c>
      <c r="G13" s="50">
        <f>IF(Setup!B20&lt;&gt;"",MIN(D13,C13),"")</f>
        <v>208</v>
      </c>
      <c r="H13" s="50">
        <f>IF(Setup!B20&lt;&gt;"",MAX(D13-C13,0),"")</f>
        <v>0</v>
      </c>
      <c r="I13" s="19">
        <f>IF(Setup!B20&lt;&gt;"",F13*G13,"")</f>
        <v>25000</v>
      </c>
      <c r="J13" s="19">
        <f>IF(Setup!B20&lt;&gt;"",F13*H13*$B4,"")</f>
        <v>0</v>
      </c>
      <c r="K13" s="19">
        <f>IF(Setup!B20&lt;&gt;"",IF(E13=0,$B5,0),"")</f>
        <v>0</v>
      </c>
      <c r="L13" s="52">
        <f>IF(Setup!B20&lt;&gt;"",I13+J13+K13,"")</f>
        <v>25000</v>
      </c>
      <c r="M13" s="19">
        <f>IF(Setup!B20&lt;&gt;"",Payroll_Apr!P13,"")</f>
        <v>0</v>
      </c>
      <c r="N13" s="46">
        <v>25000</v>
      </c>
      <c r="O13" s="46">
        <v>25000</v>
      </c>
      <c r="P13" s="52">
        <f>IF(Setup!B20&lt;&gt;"",M13+N13-O13,"")</f>
        <v>0</v>
      </c>
      <c r="Q13" s="46">
        <v>0</v>
      </c>
      <c r="R13" s="47">
        <f>IF(Setup!B20&lt;&gt;"",L13-O13-Q13,"")</f>
        <v>0</v>
      </c>
    </row>
    <row r="14" spans="1:18" ht="21.75" customHeight="1" x14ac:dyDescent="0.3">
      <c r="A14" s="1" t="str">
        <f>Setup!B21</f>
        <v>Ali Zaman</v>
      </c>
      <c r="B14" s="40">
        <f>IF(Setup!B21&lt;&gt;"",Setup!C21,"")</f>
        <v>75000</v>
      </c>
      <c r="C14" s="41">
        <f>IF(Setup!B21&lt;&gt;"",$B3,"")</f>
        <v>208</v>
      </c>
      <c r="D14" s="42">
        <f>IF(Setup!B21&lt;&gt;"",Attendance_May!K39,"")</f>
        <v>208</v>
      </c>
      <c r="E14" s="41">
        <f>IF(Setup!B21&lt;&gt;"",Attendance_May!K40,"")</f>
        <v>0</v>
      </c>
      <c r="F14" s="43">
        <f>IFERROR(IF(Setup!B21&lt;&gt;"",B14/C14,""),"")</f>
        <v>360.57692307692309</v>
      </c>
      <c r="G14" s="42">
        <f>IF(Setup!B21&lt;&gt;"",MIN(D14,C14),"")</f>
        <v>208</v>
      </c>
      <c r="H14" s="42">
        <f>IF(Setup!B21&lt;&gt;"",MAX(D14-C14,0),"")</f>
        <v>0</v>
      </c>
      <c r="I14" s="16">
        <f>IF(Setup!B21&lt;&gt;"",F14*G14,"")</f>
        <v>75000</v>
      </c>
      <c r="J14" s="16">
        <f>IF(Setup!B21&lt;&gt;"",F14*H14*$B4,"")</f>
        <v>0</v>
      </c>
      <c r="K14" s="16">
        <f>IF(Setup!B21&lt;&gt;"",IF(E14=0,$B5,0),"")</f>
        <v>0</v>
      </c>
      <c r="L14" s="44">
        <f>IF(Setup!B21&lt;&gt;"",I14+J14+K14,"")</f>
        <v>75000</v>
      </c>
      <c r="M14" s="16">
        <f>IF(Setup!B21&lt;&gt;"",Payroll_Apr!P14,"")</f>
        <v>18000</v>
      </c>
      <c r="N14" s="46">
        <v>57000</v>
      </c>
      <c r="O14" s="46">
        <v>40000</v>
      </c>
      <c r="P14" s="44">
        <f>IF(Setup!B21&lt;&gt;"",M14+N14-O14,"")</f>
        <v>35000</v>
      </c>
      <c r="Q14" s="46">
        <v>0</v>
      </c>
      <c r="R14" s="47">
        <f>IF(Setup!B21&lt;&gt;"",L14-O14-Q14,"")</f>
        <v>35000</v>
      </c>
    </row>
    <row r="15" spans="1:18" ht="21.75" customHeight="1" x14ac:dyDescent="0.3">
      <c r="A15" s="18" t="str">
        <f>Setup!B22</f>
        <v>Awais Ali</v>
      </c>
      <c r="B15" s="48">
        <f>IF(Setup!B22&lt;&gt;"",Setup!C22,"")</f>
        <v>25000</v>
      </c>
      <c r="C15" s="49">
        <f>IF(Setup!B22&lt;&gt;"",$B3,"")</f>
        <v>208</v>
      </c>
      <c r="D15" s="50">
        <f>IF(Setup!B22&lt;&gt;"",Attendance_May!L39,"")</f>
        <v>193.60000000000002</v>
      </c>
      <c r="E15" s="49">
        <f>IF(Setup!B22&lt;&gt;"",Attendance_May!L40,"")</f>
        <v>0</v>
      </c>
      <c r="F15" s="51">
        <f>IFERROR(IF(Setup!B22&lt;&gt;"",B15/C15,""),"")</f>
        <v>120.19230769230769</v>
      </c>
      <c r="G15" s="50">
        <f>IF(Setup!B22&lt;&gt;"",MIN(D15,C15),"")</f>
        <v>193.60000000000002</v>
      </c>
      <c r="H15" s="50">
        <f>IF(Setup!B22&lt;&gt;"",MAX(D15-C15,0),"")</f>
        <v>0</v>
      </c>
      <c r="I15" s="19">
        <f>IF(Setup!B22&lt;&gt;"",F15*G15,"")</f>
        <v>23269.230769230773</v>
      </c>
      <c r="J15" s="19">
        <f>IF(Setup!B22&lt;&gt;"",F15*H15*$B4,"")</f>
        <v>0</v>
      </c>
      <c r="K15" s="19">
        <f>IF(Setup!B22&lt;&gt;"",IF(E15=0,$B5,0),"")</f>
        <v>0</v>
      </c>
      <c r="L15" s="52">
        <f>IF(Setup!B22&lt;&gt;"",I15+J15+K15,"")</f>
        <v>23269.230769230773</v>
      </c>
      <c r="M15" s="19">
        <f>IF(Setup!B22&lt;&gt;"",Payroll_Apr!P15,"")</f>
        <v>0</v>
      </c>
      <c r="N15" s="46">
        <v>23000</v>
      </c>
      <c r="O15" s="46">
        <v>23000</v>
      </c>
      <c r="P15" s="52">
        <f>IF(Setup!B22&lt;&gt;"",M15+N15-O15,"")</f>
        <v>0</v>
      </c>
      <c r="Q15" s="46">
        <v>0</v>
      </c>
      <c r="R15" s="47">
        <f>IF(Setup!B22&lt;&gt;"",L15-O15-Q15,"")</f>
        <v>269.23076923077315</v>
      </c>
    </row>
    <row r="16" spans="1:18" ht="21.75" customHeight="1" x14ac:dyDescent="0.3">
      <c r="A16" s="1" t="str">
        <f>Setup!B23</f>
        <v>Ishtiaq</v>
      </c>
      <c r="B16" s="40">
        <f>IF(Setup!B23&lt;&gt;"",Setup!C23,"")</f>
        <v>25000</v>
      </c>
      <c r="C16" s="41">
        <f>IF(Setup!B23&lt;&gt;"",$B3,"")</f>
        <v>208</v>
      </c>
      <c r="D16" s="42">
        <f>IF(Setup!B23&lt;&gt;"",Attendance_May!M39,"")</f>
        <v>140.9</v>
      </c>
      <c r="E16" s="41">
        <f>IF(Setup!B23&lt;&gt;"",Attendance_May!M40,"")</f>
        <v>0</v>
      </c>
      <c r="F16" s="43">
        <f>IFERROR(IF(Setup!B23&lt;&gt;"",B16/C16,""),"")</f>
        <v>120.19230769230769</v>
      </c>
      <c r="G16" s="42">
        <f>IF(Setup!B23&lt;&gt;"",MIN(D16,C16),"")</f>
        <v>140.9</v>
      </c>
      <c r="H16" s="42">
        <f>IF(Setup!B23&lt;&gt;"",MAX(D16-C16,0),"")</f>
        <v>0</v>
      </c>
      <c r="I16" s="16">
        <f>IF(Setup!B23&lt;&gt;"",F16*G16,"")</f>
        <v>16935.096153846156</v>
      </c>
      <c r="J16" s="16">
        <f>IF(Setup!B23&lt;&gt;"",F16*H16*$B4,"")</f>
        <v>0</v>
      </c>
      <c r="K16" s="16">
        <f>IF(Setup!B23&lt;&gt;"",IF(E16=0,$B5,0),"")</f>
        <v>0</v>
      </c>
      <c r="L16" s="44">
        <f>IF(Setup!B23&lt;&gt;"",I16+J16+K16,"")</f>
        <v>16935.096153846156</v>
      </c>
      <c r="M16" s="16">
        <f>IF(Setup!B23&lt;&gt;"",Payroll_Apr!P16,"")</f>
        <v>0</v>
      </c>
      <c r="N16" s="46">
        <v>3000</v>
      </c>
      <c r="O16" s="46">
        <v>3000</v>
      </c>
      <c r="P16" s="44">
        <f>IF(Setup!B23&lt;&gt;"",M16+N16-O16,"")</f>
        <v>0</v>
      </c>
      <c r="Q16" s="46">
        <v>0</v>
      </c>
      <c r="R16" s="47">
        <f>IF(Setup!B23&lt;&gt;"",L16-O16-Q16,"")</f>
        <v>13935.096153846156</v>
      </c>
    </row>
    <row r="17" spans="1:18" ht="21.75" customHeight="1" x14ac:dyDescent="0.3">
      <c r="A17" s="18" t="str">
        <f>Setup!B24</f>
        <v>Usama bhai</v>
      </c>
      <c r="B17" s="48">
        <f>IF(Setup!B24&lt;&gt;"",Setup!C24,"")</f>
        <v>50000</v>
      </c>
      <c r="C17" s="49">
        <f>IF(Setup!B24&lt;&gt;"",$B3,"")</f>
        <v>208</v>
      </c>
      <c r="D17" s="50">
        <f>IF(Setup!B24&lt;&gt;"",Attendance_May!N39,"")</f>
        <v>208</v>
      </c>
      <c r="E17" s="49">
        <f>IF(Setup!B24&lt;&gt;"",Attendance_May!N40,"")</f>
        <v>0</v>
      </c>
      <c r="F17" s="51">
        <f>IFERROR(IF(Setup!B24&lt;&gt;"",B17/C17,""),"")</f>
        <v>240.38461538461539</v>
      </c>
      <c r="G17" s="50">
        <f>IF(Setup!B24&lt;&gt;"",MIN(D17,C17),"")</f>
        <v>208</v>
      </c>
      <c r="H17" s="50">
        <f>IF(Setup!B24&lt;&gt;"",MAX(D17-C17,0),"")</f>
        <v>0</v>
      </c>
      <c r="I17" s="19">
        <f>IF(Setup!B24&lt;&gt;"",F17*G17,"")</f>
        <v>50000</v>
      </c>
      <c r="J17" s="19">
        <f>IF(Setup!B24&lt;&gt;"",F17*H17*$B4,"")</f>
        <v>0</v>
      </c>
      <c r="K17" s="19">
        <f>IF(Setup!B24&lt;&gt;"",IF(E17=0,$B5,0),"")</f>
        <v>0</v>
      </c>
      <c r="L17" s="52">
        <f>IF(Setup!B24&lt;&gt;"",I17+J17+K17,"")</f>
        <v>50000</v>
      </c>
      <c r="M17" s="19">
        <f>IF(Setup!B24&lt;&gt;"",Payroll_Apr!P17,"")</f>
        <v>0</v>
      </c>
      <c r="N17" s="46">
        <v>50000</v>
      </c>
      <c r="O17" s="46">
        <v>50000</v>
      </c>
      <c r="P17" s="52">
        <f>IF(Setup!B24&lt;&gt;"",M17+N17-O17,"")</f>
        <v>0</v>
      </c>
      <c r="Q17" s="46">
        <v>0</v>
      </c>
      <c r="R17" s="47">
        <f>IF(Setup!B24&lt;&gt;"",L17-O17-Q17,"")</f>
        <v>0</v>
      </c>
    </row>
    <row r="18" spans="1:18" ht="21.75" customHeight="1" x14ac:dyDescent="0.3">
      <c r="A18" s="1" t="str">
        <f>Setup!B25</f>
        <v>Ahtisham</v>
      </c>
      <c r="B18" s="40">
        <f>IF(Setup!B25&lt;&gt;"",Setup!C25,"")</f>
        <v>10000</v>
      </c>
      <c r="C18" s="41">
        <f>IF(Setup!B25&lt;&gt;"",$B3,"")</f>
        <v>208</v>
      </c>
      <c r="D18" s="42">
        <f>IF(Setup!B25&lt;&gt;"",Attendance_May!O39,"")</f>
        <v>0</v>
      </c>
      <c r="E18" s="41">
        <f>IF(Setup!B25&lt;&gt;"",Attendance_May!O40,"")</f>
        <v>0</v>
      </c>
      <c r="F18" s="43">
        <f>IFERROR(IF(Setup!B25&lt;&gt;"",B18/C18,""),"")</f>
        <v>48.07692307692308</v>
      </c>
      <c r="G18" s="42">
        <f>IF(Setup!B25&lt;&gt;"",MIN(D18,C18),"")</f>
        <v>0</v>
      </c>
      <c r="H18" s="42">
        <f>IF(Setup!B25&lt;&gt;"",MAX(D18-C18,0),"")</f>
        <v>0</v>
      </c>
      <c r="I18" s="16">
        <f>IF(Setup!B25&lt;&gt;"",F18*G18,"")</f>
        <v>0</v>
      </c>
      <c r="J18" s="16">
        <f>IF(Setup!B25&lt;&gt;"",F18*H18*$B4,"")</f>
        <v>0</v>
      </c>
      <c r="K18" s="16">
        <f>IF(Setup!B25&lt;&gt;"",IF(E18=0,$B5,0),"")</f>
        <v>0</v>
      </c>
      <c r="L18" s="44">
        <f>IF(Setup!B25&lt;&gt;"",I18+J18+K18,"")</f>
        <v>0</v>
      </c>
      <c r="M18" s="16">
        <f>IF(Setup!B25&lt;&gt;"",Payroll_Apr!P18,"")</f>
        <v>0</v>
      </c>
      <c r="N18" s="46">
        <v>0</v>
      </c>
      <c r="O18" s="46">
        <v>0</v>
      </c>
      <c r="P18" s="44">
        <f>IF(Setup!B25&lt;&gt;"",M18+N18-O18,"")</f>
        <v>0</v>
      </c>
      <c r="Q18" s="46">
        <v>0</v>
      </c>
      <c r="R18" s="47">
        <f>IF(Setup!B25&lt;&gt;"",L18-O18-Q18,"")</f>
        <v>0</v>
      </c>
    </row>
    <row r="19" spans="1:18" ht="21.75" customHeight="1" x14ac:dyDescent="0.3">
      <c r="A19" s="18" t="str">
        <f>Setup!B26</f>
        <v>Factory rent</v>
      </c>
      <c r="B19" s="48">
        <f>IF(Setup!B26&lt;&gt;"",Setup!C26,"")</f>
        <v>77000</v>
      </c>
      <c r="C19" s="49">
        <f>IF(Setup!B26&lt;&gt;"",$B3,"")</f>
        <v>208</v>
      </c>
      <c r="D19" s="50">
        <f>IF(Setup!B26&lt;&gt;"",Attendance_May!P39,"")</f>
        <v>208</v>
      </c>
      <c r="E19" s="49">
        <f>IF(Setup!B26&lt;&gt;"",Attendance_May!P40,"")</f>
        <v>0</v>
      </c>
      <c r="F19" s="51">
        <f>IFERROR(IF(Setup!B26&lt;&gt;"",B19/C19,""),"")</f>
        <v>370.19230769230768</v>
      </c>
      <c r="G19" s="50">
        <f>IF(Setup!B26&lt;&gt;"",MIN(D19,C19),"")</f>
        <v>208</v>
      </c>
      <c r="H19" s="50">
        <f>IF(Setup!B26&lt;&gt;"",MAX(D19-C19,0),"")</f>
        <v>0</v>
      </c>
      <c r="I19" s="19">
        <f>IF(Setup!B26&lt;&gt;"",F19*G19,"")</f>
        <v>77000</v>
      </c>
      <c r="J19" s="19">
        <f>IF(Setup!B26&lt;&gt;"",F19*H19*$B4,"")</f>
        <v>0</v>
      </c>
      <c r="K19" s="19">
        <f>IF(Setup!B26&lt;&gt;"",IF(E19=0,$B5,0),"")</f>
        <v>0</v>
      </c>
      <c r="L19" s="52">
        <f>IF(Setup!B26&lt;&gt;"",I19+J19+K19,"")</f>
        <v>77000</v>
      </c>
      <c r="M19" s="19">
        <f>IF(Setup!B26&lt;&gt;"",Payroll_Apr!P19,"")</f>
        <v>0</v>
      </c>
      <c r="N19" s="46">
        <v>0</v>
      </c>
      <c r="O19" s="46">
        <v>0</v>
      </c>
      <c r="P19" s="52">
        <f>IF(Setup!B26&lt;&gt;"",M19+N19-O19,"")</f>
        <v>0</v>
      </c>
      <c r="Q19" s="46">
        <v>0</v>
      </c>
      <c r="R19" s="47">
        <f>IF(Setup!B26&lt;&gt;"",L19-O19-Q19,"")</f>
        <v>77000</v>
      </c>
    </row>
    <row r="20" spans="1:18" ht="21.75" customHeight="1" x14ac:dyDescent="0.3">
      <c r="A20" s="1" t="str">
        <f>Setup!B27</f>
        <v>Internet bill</v>
      </c>
      <c r="B20" s="40">
        <f>IF(Setup!B27&lt;&gt;"",Setup!C27,"")</f>
        <v>2500</v>
      </c>
      <c r="C20" s="41">
        <f>IF(Setup!B27&lt;&gt;"",$B3,"")</f>
        <v>208</v>
      </c>
      <c r="D20" s="42">
        <f>IF(Setup!B27&lt;&gt;"",Attendance_May!Q39,"")</f>
        <v>208</v>
      </c>
      <c r="E20" s="41">
        <f>IF(Setup!B27&lt;&gt;"",Attendance_May!Q40,"")</f>
        <v>0</v>
      </c>
      <c r="F20" s="43">
        <f>IFERROR(IF(Setup!B27&lt;&gt;"",B20/C20,""),"")</f>
        <v>12.01923076923077</v>
      </c>
      <c r="G20" s="42">
        <f>IF(Setup!B27&lt;&gt;"",MIN(D20,C20),"")</f>
        <v>208</v>
      </c>
      <c r="H20" s="42">
        <f>IF(Setup!B27&lt;&gt;"",MAX(D20-C20,0),"")</f>
        <v>0</v>
      </c>
      <c r="I20" s="16">
        <f>IF(Setup!B27&lt;&gt;"",F20*G20,"")</f>
        <v>2500</v>
      </c>
      <c r="J20" s="16">
        <f>IF(Setup!B27&lt;&gt;"",F20*H20*$B4,"")</f>
        <v>0</v>
      </c>
      <c r="K20" s="16">
        <f>IF(Setup!B27&lt;&gt;"",IF(E20=0,$B5,0),"")</f>
        <v>0</v>
      </c>
      <c r="L20" s="44">
        <f>IF(Setup!B27&lt;&gt;"",I20+J20+K20,"")</f>
        <v>2500</v>
      </c>
      <c r="M20" s="16">
        <f>IF(Setup!B27&lt;&gt;"",Payroll_Apr!P20,"")</f>
        <v>0</v>
      </c>
      <c r="N20" s="46">
        <v>0</v>
      </c>
      <c r="O20" s="46">
        <v>0</v>
      </c>
      <c r="P20" s="44">
        <f>IF(Setup!B27&lt;&gt;"",M20+N20-O20,"")</f>
        <v>0</v>
      </c>
      <c r="Q20" s="46">
        <v>0</v>
      </c>
      <c r="R20" s="47">
        <f>IF(Setup!B27&lt;&gt;"",L20-O20-Q20,"")</f>
        <v>2500</v>
      </c>
    </row>
    <row r="21" spans="1:18" ht="21.75" customHeight="1" x14ac:dyDescent="0.3">
      <c r="A21" s="18" t="str">
        <f>Setup!B28</f>
        <v>Saqab</v>
      </c>
      <c r="B21" s="48">
        <f>IF(Setup!B28&lt;&gt;"",Setup!C28,"")</f>
        <v>25000</v>
      </c>
      <c r="C21" s="49">
        <f>IF(Setup!B28&lt;&gt;"",$B3,"")</f>
        <v>208</v>
      </c>
      <c r="D21" s="50">
        <f>IF(Setup!B28&lt;&gt;"",Attendance_May!R39,"")</f>
        <v>134.75</v>
      </c>
      <c r="E21" s="49">
        <f>IF(Setup!B28&lt;&gt;"",Attendance_May!R40,"")</f>
        <v>0</v>
      </c>
      <c r="F21" s="51">
        <f>IFERROR(IF(Setup!B28&lt;&gt;"",B21/C21,""),"")</f>
        <v>120.19230769230769</v>
      </c>
      <c r="G21" s="50">
        <f>IF(Setup!B28&lt;&gt;"",MIN(D21,C21),"")</f>
        <v>134.75</v>
      </c>
      <c r="H21" s="50">
        <f>IF(Setup!B28&lt;&gt;"",MAX(D21-C21,0),"")</f>
        <v>0</v>
      </c>
      <c r="I21" s="19">
        <f>IF(Setup!B28&lt;&gt;"",F21*G21,"")</f>
        <v>16195.913461538461</v>
      </c>
      <c r="J21" s="19">
        <f>IF(Setup!B28&lt;&gt;"",F21*H21*$B4,"")</f>
        <v>0</v>
      </c>
      <c r="K21" s="19">
        <f>IF(Setup!B28&lt;&gt;"",IF(E21=0,$B5,0),"")</f>
        <v>0</v>
      </c>
      <c r="L21" s="52">
        <f>IF(Setup!B28&lt;&gt;"",I21+J21+K21,"")</f>
        <v>16195.913461538461</v>
      </c>
      <c r="M21" s="19">
        <f>IF(Setup!B28&lt;&gt;"",Payroll_Apr!P21,"")</f>
        <v>0</v>
      </c>
      <c r="N21" s="46">
        <v>10000</v>
      </c>
      <c r="O21" s="46">
        <v>10000</v>
      </c>
      <c r="P21" s="52">
        <f>IF(Setup!B28&lt;&gt;"",M21+N21-O21,"")</f>
        <v>0</v>
      </c>
      <c r="Q21" s="46">
        <v>0</v>
      </c>
      <c r="R21" s="47">
        <f>IF(Setup!B28&lt;&gt;"",L21-O21-Q21,"")</f>
        <v>6195.913461538461</v>
      </c>
    </row>
    <row r="22" spans="1:18" ht="21.75" customHeight="1" x14ac:dyDescent="0.3">
      <c r="A22" s="1">
        <f>Setup!B29</f>
        <v>0</v>
      </c>
      <c r="B22" s="40" t="str">
        <f>IF(Setup!B29&lt;&gt;"",Setup!C29,"")</f>
        <v/>
      </c>
      <c r="C22" s="41" t="str">
        <f>IF(Setup!B29&lt;&gt;"",$B3,"")</f>
        <v/>
      </c>
      <c r="D22" s="42" t="str">
        <f>IF(Setup!B29&lt;&gt;"",Attendance_May!S39,"")</f>
        <v/>
      </c>
      <c r="E22" s="41" t="str">
        <f>IF(Setup!B29&lt;&gt;"",Attendance_May!S40,"")</f>
        <v/>
      </c>
      <c r="F22" s="43" t="str">
        <f>IFERROR(IF(Setup!B29&lt;&gt;"",B22/C22,""),"")</f>
        <v/>
      </c>
      <c r="G22" s="42" t="str">
        <f>IF(Setup!B29&lt;&gt;"",MIN(D22,C22),"")</f>
        <v/>
      </c>
      <c r="H22" s="42" t="str">
        <f>IF(Setup!B29&lt;&gt;"",MAX(D22-C22,0),"")</f>
        <v/>
      </c>
      <c r="I22" s="16" t="str">
        <f>IF(Setup!B29&lt;&gt;"",F22*G22,"")</f>
        <v/>
      </c>
      <c r="J22" s="16" t="str">
        <f>IF(Setup!B29&lt;&gt;"",F22*H22*$B4,"")</f>
        <v/>
      </c>
      <c r="K22" s="16" t="str">
        <f>IF(Setup!B29&lt;&gt;"",IF(E22=0,$B5,0),"")</f>
        <v/>
      </c>
      <c r="L22" s="44" t="str">
        <f>IF(Setup!B29&lt;&gt;"",I22+J22+K22,"")</f>
        <v/>
      </c>
      <c r="M22" s="16" t="str">
        <f>IF(Setup!B29&lt;&gt;"",Payroll_Apr!P22,"")</f>
        <v/>
      </c>
      <c r="N22" s="46">
        <v>0</v>
      </c>
      <c r="O22" s="46">
        <v>0</v>
      </c>
      <c r="P22" s="44" t="str">
        <f>IF(Setup!B29&lt;&gt;"",M22+N22-O22,"")</f>
        <v/>
      </c>
      <c r="Q22" s="46">
        <v>0</v>
      </c>
      <c r="R22" s="47" t="str">
        <f>IF(Setup!B29&lt;&gt;"",L22-O22-Q22,"")</f>
        <v/>
      </c>
    </row>
    <row r="23" spans="1:18" ht="21.75" customHeight="1" x14ac:dyDescent="0.3">
      <c r="A23" s="18">
        <f>Setup!B30</f>
        <v>0</v>
      </c>
      <c r="B23" s="48" t="str">
        <f>IF(Setup!B30&lt;&gt;"",Setup!C30,"")</f>
        <v/>
      </c>
      <c r="C23" s="49" t="str">
        <f>IF(Setup!B30&lt;&gt;"",$B3,"")</f>
        <v/>
      </c>
      <c r="D23" s="50" t="str">
        <f>IF(Setup!B30&lt;&gt;"",Attendance_May!T39,"")</f>
        <v/>
      </c>
      <c r="E23" s="49" t="str">
        <f>IF(Setup!B30&lt;&gt;"",Attendance_May!T40,"")</f>
        <v/>
      </c>
      <c r="F23" s="51" t="str">
        <f>IFERROR(IF(Setup!B30&lt;&gt;"",B23/C23,""),"")</f>
        <v/>
      </c>
      <c r="G23" s="50" t="str">
        <f>IF(Setup!B30&lt;&gt;"",MIN(D23,C23),"")</f>
        <v/>
      </c>
      <c r="H23" s="50" t="str">
        <f>IF(Setup!B30&lt;&gt;"",MAX(D23-C23,0),"")</f>
        <v/>
      </c>
      <c r="I23" s="19" t="str">
        <f>IF(Setup!B30&lt;&gt;"",F23*G23,"")</f>
        <v/>
      </c>
      <c r="J23" s="19" t="str">
        <f>IF(Setup!B30&lt;&gt;"",F23*H23*$B4,"")</f>
        <v/>
      </c>
      <c r="K23" s="19" t="str">
        <f>IF(Setup!B30&lt;&gt;"",IF(E23=0,$B5,0),"")</f>
        <v/>
      </c>
      <c r="L23" s="52" t="str">
        <f>IF(Setup!B30&lt;&gt;"",I23+J23+K23,"")</f>
        <v/>
      </c>
      <c r="M23" s="19" t="str">
        <f>IF(Setup!B30&lt;&gt;"",Payroll_Apr!P23,"")</f>
        <v/>
      </c>
      <c r="N23" s="46">
        <v>0</v>
      </c>
      <c r="O23" s="46">
        <v>0</v>
      </c>
      <c r="P23" s="52" t="str">
        <f>IF(Setup!B30&lt;&gt;"",M23+N23-O23,"")</f>
        <v/>
      </c>
      <c r="Q23" s="46">
        <v>0</v>
      </c>
      <c r="R23" s="47" t="str">
        <f>IF(Setup!B30&lt;&gt;"",L23-O23-Q23,"")</f>
        <v/>
      </c>
    </row>
    <row r="24" spans="1:18" ht="21.75" customHeight="1" x14ac:dyDescent="0.3">
      <c r="A24" s="1">
        <f>Setup!B31</f>
        <v>0</v>
      </c>
      <c r="B24" s="40" t="str">
        <f>IF(Setup!B31&lt;&gt;"",Setup!C31,"")</f>
        <v/>
      </c>
      <c r="C24" s="41" t="str">
        <f>IF(Setup!B31&lt;&gt;"",$B3,"")</f>
        <v/>
      </c>
      <c r="D24" s="42" t="str">
        <f>IF(Setup!B31&lt;&gt;"",Attendance_May!U39,"")</f>
        <v/>
      </c>
      <c r="E24" s="41" t="str">
        <f>IF(Setup!B31&lt;&gt;"",Attendance_May!U40,"")</f>
        <v/>
      </c>
      <c r="F24" s="43" t="str">
        <f>IFERROR(IF(Setup!B31&lt;&gt;"",B24/C24,""),"")</f>
        <v/>
      </c>
      <c r="G24" s="42" t="str">
        <f>IF(Setup!B31&lt;&gt;"",MIN(D24,C24),"")</f>
        <v/>
      </c>
      <c r="H24" s="42" t="str">
        <f>IF(Setup!B31&lt;&gt;"",MAX(D24-C24,0),"")</f>
        <v/>
      </c>
      <c r="I24" s="16" t="str">
        <f>IF(Setup!B31&lt;&gt;"",F24*G24,"")</f>
        <v/>
      </c>
      <c r="J24" s="16" t="str">
        <f>IF(Setup!B31&lt;&gt;"",F24*H24*$B4,"")</f>
        <v/>
      </c>
      <c r="K24" s="16" t="str">
        <f>IF(Setup!B31&lt;&gt;"",IF(E24=0,$B5,0),"")</f>
        <v/>
      </c>
      <c r="L24" s="44" t="str">
        <f>IF(Setup!B31&lt;&gt;"",I24+J24+K24,"")</f>
        <v/>
      </c>
      <c r="M24" s="16" t="str">
        <f>IF(Setup!B31&lt;&gt;"",Payroll_Apr!P24,"")</f>
        <v/>
      </c>
      <c r="N24" s="46">
        <v>0</v>
      </c>
      <c r="O24" s="46">
        <v>0</v>
      </c>
      <c r="P24" s="44" t="str">
        <f>IF(Setup!B31&lt;&gt;"",M24+N24-O24,"")</f>
        <v/>
      </c>
      <c r="Q24" s="46">
        <v>0</v>
      </c>
      <c r="R24" s="47" t="str">
        <f>IF(Setup!B31&lt;&gt;"",L24-O24-Q24,"")</f>
        <v/>
      </c>
    </row>
    <row r="25" spans="1:18" ht="21.75" customHeight="1" x14ac:dyDescent="0.3">
      <c r="A25" s="18">
        <f>Setup!B32</f>
        <v>0</v>
      </c>
      <c r="B25" s="48" t="str">
        <f>IF(Setup!B32&lt;&gt;"",Setup!C32,"")</f>
        <v/>
      </c>
      <c r="C25" s="49" t="str">
        <f>IF(Setup!B32&lt;&gt;"",$B3,"")</f>
        <v/>
      </c>
      <c r="D25" s="50" t="str">
        <f>IF(Setup!B32&lt;&gt;"",Attendance_May!V39,"")</f>
        <v/>
      </c>
      <c r="E25" s="49" t="str">
        <f>IF(Setup!B32&lt;&gt;"",Attendance_May!V40,"")</f>
        <v/>
      </c>
      <c r="F25" s="51" t="str">
        <f>IFERROR(IF(Setup!B32&lt;&gt;"",B25/C25,""),"")</f>
        <v/>
      </c>
      <c r="G25" s="50" t="str">
        <f>IF(Setup!B32&lt;&gt;"",MIN(D25,C25),"")</f>
        <v/>
      </c>
      <c r="H25" s="50" t="str">
        <f>IF(Setup!B32&lt;&gt;"",MAX(D25-C25,0),"")</f>
        <v/>
      </c>
      <c r="I25" s="19" t="str">
        <f>IF(Setup!B32&lt;&gt;"",F25*G25,"")</f>
        <v/>
      </c>
      <c r="J25" s="19" t="str">
        <f>IF(Setup!B32&lt;&gt;"",F25*H25*$B4,"")</f>
        <v/>
      </c>
      <c r="K25" s="19" t="str">
        <f>IF(Setup!B32&lt;&gt;"",IF(E25=0,$B5,0),"")</f>
        <v/>
      </c>
      <c r="L25" s="52" t="str">
        <f>IF(Setup!B32&lt;&gt;"",I25+J25+K25,"")</f>
        <v/>
      </c>
      <c r="M25" s="19" t="str">
        <f>IF(Setup!B32&lt;&gt;"",Payroll_Apr!P25,"")</f>
        <v/>
      </c>
      <c r="N25" s="46">
        <v>0</v>
      </c>
      <c r="O25" s="46">
        <v>0</v>
      </c>
      <c r="P25" s="52" t="str">
        <f>IF(Setup!B32&lt;&gt;"",M25+N25-O25,"")</f>
        <v/>
      </c>
      <c r="Q25" s="46">
        <v>0</v>
      </c>
      <c r="R25" s="47" t="str">
        <f>IF(Setup!B32&lt;&gt;"",L25-O25-Q25,"")</f>
        <v/>
      </c>
    </row>
    <row r="26" spans="1:18" ht="21.75" customHeight="1" x14ac:dyDescent="0.3">
      <c r="A26" s="1">
        <f>Setup!B33</f>
        <v>0</v>
      </c>
      <c r="B26" s="40" t="str">
        <f>IF(Setup!B33&lt;&gt;"",Setup!C33,"")</f>
        <v/>
      </c>
      <c r="C26" s="41" t="str">
        <f>IF(Setup!B33&lt;&gt;"",$B3,"")</f>
        <v/>
      </c>
      <c r="D26" s="42" t="str">
        <f>IF(Setup!B33&lt;&gt;"",Attendance_May!W39,"")</f>
        <v/>
      </c>
      <c r="E26" s="41" t="str">
        <f>IF(Setup!B33&lt;&gt;"",Attendance_May!W40,"")</f>
        <v/>
      </c>
      <c r="F26" s="43" t="str">
        <f>IFERROR(IF(Setup!B33&lt;&gt;"",B26/C26,""),"")</f>
        <v/>
      </c>
      <c r="G26" s="42" t="str">
        <f>IF(Setup!B33&lt;&gt;"",MIN(D26,C26),"")</f>
        <v/>
      </c>
      <c r="H26" s="42" t="str">
        <f>IF(Setup!B33&lt;&gt;"",MAX(D26-C26,0),"")</f>
        <v/>
      </c>
      <c r="I26" s="16" t="str">
        <f>IF(Setup!B33&lt;&gt;"",F26*G26,"")</f>
        <v/>
      </c>
      <c r="J26" s="16" t="str">
        <f>IF(Setup!B33&lt;&gt;"",F26*H26*$B4,"")</f>
        <v/>
      </c>
      <c r="K26" s="16" t="str">
        <f>IF(Setup!B33&lt;&gt;"",IF(E26=0,$B5,0),"")</f>
        <v/>
      </c>
      <c r="L26" s="44" t="str">
        <f>IF(Setup!B33&lt;&gt;"",I26+J26+K26,"")</f>
        <v/>
      </c>
      <c r="M26" s="16" t="str">
        <f>IF(Setup!B33&lt;&gt;"",Payroll_Apr!P26,"")</f>
        <v/>
      </c>
      <c r="N26" s="46">
        <v>0</v>
      </c>
      <c r="O26" s="46">
        <v>0</v>
      </c>
      <c r="P26" s="44" t="str">
        <f>IF(Setup!B33&lt;&gt;"",M26+N26-O26,"")</f>
        <v/>
      </c>
      <c r="Q26" s="46">
        <v>0</v>
      </c>
      <c r="R26" s="47" t="str">
        <f>IF(Setup!B33&lt;&gt;"",L26-O26-Q26,"")</f>
        <v/>
      </c>
    </row>
    <row r="27" spans="1:18" ht="21.75" customHeight="1" x14ac:dyDescent="0.3">
      <c r="A27" s="18">
        <f>Setup!B34</f>
        <v>0</v>
      </c>
      <c r="B27" s="48" t="str">
        <f>IF(Setup!B34&lt;&gt;"",Setup!C34,"")</f>
        <v/>
      </c>
      <c r="C27" s="49" t="str">
        <f>IF(Setup!B34&lt;&gt;"",$B3,"")</f>
        <v/>
      </c>
      <c r="D27" s="50" t="str">
        <f>IF(Setup!B34&lt;&gt;"",Attendance_May!X39,"")</f>
        <v/>
      </c>
      <c r="E27" s="49" t="str">
        <f>IF(Setup!B34&lt;&gt;"",Attendance_May!X40,"")</f>
        <v/>
      </c>
      <c r="F27" s="51" t="str">
        <f>IFERROR(IF(Setup!B34&lt;&gt;"",B27/C27,""),"")</f>
        <v/>
      </c>
      <c r="G27" s="50" t="str">
        <f>IF(Setup!B34&lt;&gt;"",MIN(D27,C27),"")</f>
        <v/>
      </c>
      <c r="H27" s="50" t="str">
        <f>IF(Setup!B34&lt;&gt;"",MAX(D27-C27,0),"")</f>
        <v/>
      </c>
      <c r="I27" s="19" t="str">
        <f>IF(Setup!B34&lt;&gt;"",F27*G27,"")</f>
        <v/>
      </c>
      <c r="J27" s="19" t="str">
        <f>IF(Setup!B34&lt;&gt;"",F27*H27*$B4,"")</f>
        <v/>
      </c>
      <c r="K27" s="19" t="str">
        <f>IF(Setup!B34&lt;&gt;"",IF(E27=0,$B5,0),"")</f>
        <v/>
      </c>
      <c r="L27" s="52" t="str">
        <f>IF(Setup!B34&lt;&gt;"",I27+J27+K27,"")</f>
        <v/>
      </c>
      <c r="M27" s="19" t="str">
        <f>IF(Setup!B34&lt;&gt;"",Payroll_Apr!P27,"")</f>
        <v/>
      </c>
      <c r="N27" s="46">
        <v>0</v>
      </c>
      <c r="O27" s="46">
        <v>0</v>
      </c>
      <c r="P27" s="52" t="str">
        <f>IF(Setup!B34&lt;&gt;"",M27+N27-O27,"")</f>
        <v/>
      </c>
      <c r="Q27" s="46">
        <v>0</v>
      </c>
      <c r="R27" s="47" t="str">
        <f>IF(Setup!B34&lt;&gt;"",L27-O27-Q27,"")</f>
        <v/>
      </c>
    </row>
    <row r="28" spans="1:18" ht="21.75" customHeight="1" x14ac:dyDescent="0.3">
      <c r="A28" s="1">
        <f>Setup!B35</f>
        <v>0</v>
      </c>
      <c r="B28" s="40" t="str">
        <f>IF(Setup!B35&lt;&gt;"",Setup!C35,"")</f>
        <v/>
      </c>
      <c r="C28" s="41" t="str">
        <f>IF(Setup!B35&lt;&gt;"",$B3,"")</f>
        <v/>
      </c>
      <c r="D28" s="42" t="str">
        <f>IF(Setup!B35&lt;&gt;"",Attendance_May!Y39,"")</f>
        <v/>
      </c>
      <c r="E28" s="41" t="str">
        <f>IF(Setup!B35&lt;&gt;"",Attendance_May!Y40,"")</f>
        <v/>
      </c>
      <c r="F28" s="43" t="str">
        <f>IFERROR(IF(Setup!B35&lt;&gt;"",B28/C28,""),"")</f>
        <v/>
      </c>
      <c r="G28" s="42" t="str">
        <f>IF(Setup!B35&lt;&gt;"",MIN(D28,C28),"")</f>
        <v/>
      </c>
      <c r="H28" s="42" t="str">
        <f>IF(Setup!B35&lt;&gt;"",MAX(D28-C28,0),"")</f>
        <v/>
      </c>
      <c r="I28" s="16" t="str">
        <f>IF(Setup!B35&lt;&gt;"",F28*G28,"")</f>
        <v/>
      </c>
      <c r="J28" s="16" t="str">
        <f>IF(Setup!B35&lt;&gt;"",F28*H28*$B4,"")</f>
        <v/>
      </c>
      <c r="K28" s="16" t="str">
        <f>IF(Setup!B35&lt;&gt;"",IF(E28=0,$B5,0),"")</f>
        <v/>
      </c>
      <c r="L28" s="44" t="str">
        <f>IF(Setup!B35&lt;&gt;"",I28+J28+K28,"")</f>
        <v/>
      </c>
      <c r="M28" s="16" t="str">
        <f>IF(Setup!B35&lt;&gt;"",Payroll_Apr!P28,"")</f>
        <v/>
      </c>
      <c r="N28" s="46">
        <v>0</v>
      </c>
      <c r="O28" s="46">
        <v>0</v>
      </c>
      <c r="P28" s="44" t="str">
        <f>IF(Setup!B35&lt;&gt;"",M28+N28-O28,"")</f>
        <v/>
      </c>
      <c r="Q28" s="46">
        <v>0</v>
      </c>
      <c r="R28" s="47" t="str">
        <f>IF(Setup!B35&lt;&gt;"",L28-O28-Q28,"")</f>
        <v/>
      </c>
    </row>
    <row r="29" spans="1:18" ht="21.75" customHeight="1" x14ac:dyDescent="0.3">
      <c r="A29" s="18">
        <f>Setup!B36</f>
        <v>0</v>
      </c>
      <c r="B29" s="48" t="str">
        <f>IF(Setup!B36&lt;&gt;"",Setup!C36,"")</f>
        <v/>
      </c>
      <c r="C29" s="49" t="str">
        <f>IF(Setup!B36&lt;&gt;"",$B3,"")</f>
        <v/>
      </c>
      <c r="D29" s="50" t="str">
        <f>IF(Setup!B36&lt;&gt;"",Attendance_May!Z39,"")</f>
        <v/>
      </c>
      <c r="E29" s="49" t="str">
        <f>IF(Setup!B36&lt;&gt;"",Attendance_May!Z40,"")</f>
        <v/>
      </c>
      <c r="F29" s="51" t="str">
        <f>IFERROR(IF(Setup!B36&lt;&gt;"",B29/C29,""),"")</f>
        <v/>
      </c>
      <c r="G29" s="50" t="str">
        <f>IF(Setup!B36&lt;&gt;"",MIN(D29,C29),"")</f>
        <v/>
      </c>
      <c r="H29" s="50" t="str">
        <f>IF(Setup!B36&lt;&gt;"",MAX(D29-C29,0),"")</f>
        <v/>
      </c>
      <c r="I29" s="19" t="str">
        <f>IF(Setup!B36&lt;&gt;"",F29*G29,"")</f>
        <v/>
      </c>
      <c r="J29" s="19" t="str">
        <f>IF(Setup!B36&lt;&gt;"",F29*H29*$B4,"")</f>
        <v/>
      </c>
      <c r="K29" s="19" t="str">
        <f>IF(Setup!B36&lt;&gt;"",IF(E29=0,$B5,0),"")</f>
        <v/>
      </c>
      <c r="L29" s="52" t="str">
        <f>IF(Setup!B36&lt;&gt;"",I29+J29+K29,"")</f>
        <v/>
      </c>
      <c r="M29" s="19" t="str">
        <f>IF(Setup!B36&lt;&gt;"",Payroll_Apr!P29,"")</f>
        <v/>
      </c>
      <c r="N29" s="46">
        <v>0</v>
      </c>
      <c r="O29" s="46">
        <v>0</v>
      </c>
      <c r="P29" s="52" t="str">
        <f>IF(Setup!B36&lt;&gt;"",M29+N29-O29,"")</f>
        <v/>
      </c>
      <c r="Q29" s="46">
        <v>0</v>
      </c>
      <c r="R29" s="47" t="str">
        <f>IF(Setup!B36&lt;&gt;"",L29-O29-Q29,"")</f>
        <v/>
      </c>
    </row>
    <row r="30" spans="1:18" ht="21.75" customHeight="1" x14ac:dyDescent="0.3">
      <c r="A30" s="1">
        <f>Setup!B37</f>
        <v>0</v>
      </c>
      <c r="B30" s="40" t="str">
        <f>IF(Setup!B37&lt;&gt;"",Setup!C37,"")</f>
        <v/>
      </c>
      <c r="C30" s="41" t="str">
        <f>IF(Setup!B37&lt;&gt;"",$B3,"")</f>
        <v/>
      </c>
      <c r="D30" s="42" t="str">
        <f>IF(Setup!B37&lt;&gt;"",Attendance_May!AA39,"")</f>
        <v/>
      </c>
      <c r="E30" s="41" t="str">
        <f>IF(Setup!B37&lt;&gt;"",Attendance_May!AA40,"")</f>
        <v/>
      </c>
      <c r="F30" s="43" t="str">
        <f>IFERROR(IF(Setup!B37&lt;&gt;"",B30/C30,""),"")</f>
        <v/>
      </c>
      <c r="G30" s="42" t="str">
        <f>IF(Setup!B37&lt;&gt;"",MIN(D30,C30),"")</f>
        <v/>
      </c>
      <c r="H30" s="42" t="str">
        <f>IF(Setup!B37&lt;&gt;"",MAX(D30-C30,0),"")</f>
        <v/>
      </c>
      <c r="I30" s="16" t="str">
        <f>IF(Setup!B37&lt;&gt;"",F30*G30,"")</f>
        <v/>
      </c>
      <c r="J30" s="16" t="str">
        <f>IF(Setup!B37&lt;&gt;"",F30*H30*$B4,"")</f>
        <v/>
      </c>
      <c r="K30" s="16" t="str">
        <f>IF(Setup!B37&lt;&gt;"",IF(E30=0,$B5,0),"")</f>
        <v/>
      </c>
      <c r="L30" s="44" t="str">
        <f>IF(Setup!B37&lt;&gt;"",I30+J30+K30,"")</f>
        <v/>
      </c>
      <c r="M30" s="16" t="str">
        <f>IF(Setup!B37&lt;&gt;"",Payroll_Apr!P30,"")</f>
        <v/>
      </c>
      <c r="N30" s="46">
        <v>0</v>
      </c>
      <c r="O30" s="46">
        <v>0</v>
      </c>
      <c r="P30" s="44" t="str">
        <f>IF(Setup!B37&lt;&gt;"",M30+N30-O30,"")</f>
        <v/>
      </c>
      <c r="Q30" s="46">
        <v>0</v>
      </c>
      <c r="R30" s="47" t="str">
        <f>IF(Setup!B37&lt;&gt;"",L30-O30-Q30,"")</f>
        <v/>
      </c>
    </row>
    <row r="31" spans="1:18" ht="21.75" customHeight="1" x14ac:dyDescent="0.3">
      <c r="A31" s="18">
        <f>Setup!B38</f>
        <v>0</v>
      </c>
      <c r="B31" s="48" t="str">
        <f>IF(Setup!B38&lt;&gt;"",Setup!C38,"")</f>
        <v/>
      </c>
      <c r="C31" s="49" t="str">
        <f>IF(Setup!B38&lt;&gt;"",$B3,"")</f>
        <v/>
      </c>
      <c r="D31" s="50" t="str">
        <f>IF(Setup!B38&lt;&gt;"",Attendance_May!AB39,"")</f>
        <v/>
      </c>
      <c r="E31" s="49" t="str">
        <f>IF(Setup!B38&lt;&gt;"",Attendance_May!AB40,"")</f>
        <v/>
      </c>
      <c r="F31" s="51" t="str">
        <f>IFERROR(IF(Setup!B38&lt;&gt;"",B31/C31,""),"")</f>
        <v/>
      </c>
      <c r="G31" s="50" t="str">
        <f>IF(Setup!B38&lt;&gt;"",MIN(D31,C31),"")</f>
        <v/>
      </c>
      <c r="H31" s="50" t="str">
        <f>IF(Setup!B38&lt;&gt;"",MAX(D31-C31,0),"")</f>
        <v/>
      </c>
      <c r="I31" s="19" t="str">
        <f>IF(Setup!B38&lt;&gt;"",F31*G31,"")</f>
        <v/>
      </c>
      <c r="J31" s="19" t="str">
        <f>IF(Setup!B38&lt;&gt;"",F31*H31*$B4,"")</f>
        <v/>
      </c>
      <c r="K31" s="19" t="str">
        <f>IF(Setup!B38&lt;&gt;"",IF(E31=0,$B5,0),"")</f>
        <v/>
      </c>
      <c r="L31" s="52" t="str">
        <f>IF(Setup!B38&lt;&gt;"",I31+J31+K31,"")</f>
        <v/>
      </c>
      <c r="M31" s="19" t="str">
        <f>IF(Setup!B38&lt;&gt;"",Payroll_Apr!P31,"")</f>
        <v/>
      </c>
      <c r="N31" s="46">
        <v>0</v>
      </c>
      <c r="O31" s="46">
        <v>0</v>
      </c>
      <c r="P31" s="52" t="str">
        <f>IF(Setup!B38&lt;&gt;"",M31+N31-O31,"")</f>
        <v/>
      </c>
      <c r="Q31" s="46">
        <v>0</v>
      </c>
      <c r="R31" s="47" t="str">
        <f>IF(Setup!B38&lt;&gt;"",L31-O31-Q31,"")</f>
        <v/>
      </c>
    </row>
    <row r="32" spans="1:18" ht="21.75" customHeight="1" x14ac:dyDescent="0.3">
      <c r="A32" s="1">
        <f>Setup!B39</f>
        <v>0</v>
      </c>
      <c r="B32" s="40" t="str">
        <f>IF(Setup!B39&lt;&gt;"",Setup!C39,"")</f>
        <v/>
      </c>
      <c r="C32" s="41" t="str">
        <f>IF(Setup!B39&lt;&gt;"",$B3,"")</f>
        <v/>
      </c>
      <c r="D32" s="42" t="str">
        <f>IF(Setup!B39&lt;&gt;"",Attendance_May!AC39,"")</f>
        <v/>
      </c>
      <c r="E32" s="41" t="str">
        <f>IF(Setup!B39&lt;&gt;"",Attendance_May!AC40,"")</f>
        <v/>
      </c>
      <c r="F32" s="43" t="str">
        <f>IFERROR(IF(Setup!B39&lt;&gt;"",B32/C32,""),"")</f>
        <v/>
      </c>
      <c r="G32" s="42" t="str">
        <f>IF(Setup!B39&lt;&gt;"",MIN(D32,C32),"")</f>
        <v/>
      </c>
      <c r="H32" s="42" t="str">
        <f>IF(Setup!B39&lt;&gt;"",MAX(D32-C32,0),"")</f>
        <v/>
      </c>
      <c r="I32" s="16" t="str">
        <f>IF(Setup!B39&lt;&gt;"",F32*G32,"")</f>
        <v/>
      </c>
      <c r="J32" s="16" t="str">
        <f>IF(Setup!B39&lt;&gt;"",F32*H32*$B4,"")</f>
        <v/>
      </c>
      <c r="K32" s="16" t="str">
        <f>IF(Setup!B39&lt;&gt;"",IF(E32=0,$B5,0),"")</f>
        <v/>
      </c>
      <c r="L32" s="44" t="str">
        <f>IF(Setup!B39&lt;&gt;"",I32+J32+K32,"")</f>
        <v/>
      </c>
      <c r="M32" s="16" t="str">
        <f>IF(Setup!B39&lt;&gt;"",Payroll_Apr!P32,"")</f>
        <v/>
      </c>
      <c r="N32" s="46">
        <v>0</v>
      </c>
      <c r="O32" s="46">
        <v>0</v>
      </c>
      <c r="P32" s="44" t="str">
        <f>IF(Setup!B39&lt;&gt;"",M32+N32-O32,"")</f>
        <v/>
      </c>
      <c r="Q32" s="46">
        <v>0</v>
      </c>
      <c r="R32" s="47" t="str">
        <f>IF(Setup!B39&lt;&gt;"",L32-O32-Q32,"")</f>
        <v/>
      </c>
    </row>
    <row r="33" spans="1:18" ht="21.75" customHeight="1" x14ac:dyDescent="0.3">
      <c r="A33" s="18">
        <f>Setup!B40</f>
        <v>0</v>
      </c>
      <c r="B33" s="48" t="str">
        <f>IF(Setup!B40&lt;&gt;"",Setup!C40,"")</f>
        <v/>
      </c>
      <c r="C33" s="49" t="str">
        <f>IF(Setup!B40&lt;&gt;"",$B3,"")</f>
        <v/>
      </c>
      <c r="D33" s="50" t="str">
        <f>IF(Setup!B40&lt;&gt;"",Attendance_May!AD39,"")</f>
        <v/>
      </c>
      <c r="E33" s="49" t="str">
        <f>IF(Setup!B40&lt;&gt;"",Attendance_May!AD40,"")</f>
        <v/>
      </c>
      <c r="F33" s="51" t="str">
        <f>IFERROR(IF(Setup!B40&lt;&gt;"",B33/C33,""),"")</f>
        <v/>
      </c>
      <c r="G33" s="50" t="str">
        <f>IF(Setup!B40&lt;&gt;"",MIN(D33,C33),"")</f>
        <v/>
      </c>
      <c r="H33" s="50" t="str">
        <f>IF(Setup!B40&lt;&gt;"",MAX(D33-C33,0),"")</f>
        <v/>
      </c>
      <c r="I33" s="19" t="str">
        <f>IF(Setup!B40&lt;&gt;"",F33*G33,"")</f>
        <v/>
      </c>
      <c r="J33" s="19" t="str">
        <f>IF(Setup!B40&lt;&gt;"",F33*H33*$B4,"")</f>
        <v/>
      </c>
      <c r="K33" s="19" t="str">
        <f>IF(Setup!B40&lt;&gt;"",IF(E33=0,$B5,0),"")</f>
        <v/>
      </c>
      <c r="L33" s="52" t="str">
        <f>IF(Setup!B40&lt;&gt;"",I33+J33+K33,"")</f>
        <v/>
      </c>
      <c r="M33" s="19" t="str">
        <f>IF(Setup!B40&lt;&gt;"",Payroll_Apr!P33,"")</f>
        <v/>
      </c>
      <c r="N33" s="46">
        <v>0</v>
      </c>
      <c r="O33" s="46">
        <v>0</v>
      </c>
      <c r="P33" s="52" t="str">
        <f>IF(Setup!B40&lt;&gt;"",M33+N33-O33,"")</f>
        <v/>
      </c>
      <c r="Q33" s="46">
        <v>0</v>
      </c>
      <c r="R33" s="47" t="str">
        <f>IF(Setup!B40&lt;&gt;"",L33-O33-Q33,"")</f>
        <v/>
      </c>
    </row>
    <row r="34" spans="1:18" ht="21.75" customHeight="1" x14ac:dyDescent="0.3">
      <c r="A34" s="1">
        <f>Setup!B41</f>
        <v>0</v>
      </c>
      <c r="B34" s="40" t="str">
        <f>IF(Setup!B41&lt;&gt;"",Setup!C41,"")</f>
        <v/>
      </c>
      <c r="C34" s="41" t="str">
        <f>IF(Setup!B41&lt;&gt;"",$B3,"")</f>
        <v/>
      </c>
      <c r="D34" s="42" t="str">
        <f>IF(Setup!B41&lt;&gt;"",Attendance_May!AE39,"")</f>
        <v/>
      </c>
      <c r="E34" s="41" t="str">
        <f>IF(Setup!B41&lt;&gt;"",Attendance_May!AE40,"")</f>
        <v/>
      </c>
      <c r="F34" s="43" t="str">
        <f>IFERROR(IF(Setup!B41&lt;&gt;"",B34/C34,""),"")</f>
        <v/>
      </c>
      <c r="G34" s="42" t="str">
        <f>IF(Setup!B41&lt;&gt;"",MIN(D34,C34),"")</f>
        <v/>
      </c>
      <c r="H34" s="42" t="str">
        <f>IF(Setup!B41&lt;&gt;"",MAX(D34-C34,0),"")</f>
        <v/>
      </c>
      <c r="I34" s="16" t="str">
        <f>IF(Setup!B41&lt;&gt;"",F34*G34,"")</f>
        <v/>
      </c>
      <c r="J34" s="16" t="str">
        <f>IF(Setup!B41&lt;&gt;"",F34*H34*$B4,"")</f>
        <v/>
      </c>
      <c r="K34" s="16" t="str">
        <f>IF(Setup!B41&lt;&gt;"",IF(E34=0,$B5,0),"")</f>
        <v/>
      </c>
      <c r="L34" s="44" t="str">
        <f>IF(Setup!B41&lt;&gt;"",I34+J34+K34,"")</f>
        <v/>
      </c>
      <c r="M34" s="16" t="str">
        <f>IF(Setup!B41&lt;&gt;"",Payroll_Apr!P34,"")</f>
        <v/>
      </c>
      <c r="N34" s="46">
        <v>0</v>
      </c>
      <c r="O34" s="46">
        <v>0</v>
      </c>
      <c r="P34" s="44" t="str">
        <f>IF(Setup!B41&lt;&gt;"",M34+N34-O34,"")</f>
        <v/>
      </c>
      <c r="Q34" s="46">
        <v>0</v>
      </c>
      <c r="R34" s="47" t="str">
        <f>IF(Setup!B41&lt;&gt;"",L34-O34-Q34,"")</f>
        <v/>
      </c>
    </row>
    <row r="35" spans="1:18" ht="21.75" customHeight="1" x14ac:dyDescent="0.3">
      <c r="A35" s="18">
        <f>Setup!B42</f>
        <v>0</v>
      </c>
      <c r="B35" s="48" t="str">
        <f>IF(Setup!B42&lt;&gt;"",Setup!C42,"")</f>
        <v/>
      </c>
      <c r="C35" s="49" t="str">
        <f>IF(Setup!B42&lt;&gt;"",$B3,"")</f>
        <v/>
      </c>
      <c r="D35" s="50" t="str">
        <f>IF(Setup!B42&lt;&gt;"",Attendance_May!AF39,"")</f>
        <v/>
      </c>
      <c r="E35" s="49" t="str">
        <f>IF(Setup!B42&lt;&gt;"",Attendance_May!AF40,"")</f>
        <v/>
      </c>
      <c r="F35" s="51" t="str">
        <f>IFERROR(IF(Setup!B42&lt;&gt;"",B35/C35,""),"")</f>
        <v/>
      </c>
      <c r="G35" s="50" t="str">
        <f>IF(Setup!B42&lt;&gt;"",MIN(D35,C35),"")</f>
        <v/>
      </c>
      <c r="H35" s="50" t="str">
        <f>IF(Setup!B42&lt;&gt;"",MAX(D35-C35,0),"")</f>
        <v/>
      </c>
      <c r="I35" s="19" t="str">
        <f>IF(Setup!B42&lt;&gt;"",F35*G35,"")</f>
        <v/>
      </c>
      <c r="J35" s="19" t="str">
        <f>IF(Setup!B42&lt;&gt;"",F35*H35*$B4,"")</f>
        <v/>
      </c>
      <c r="K35" s="19" t="str">
        <f>IF(Setup!B42&lt;&gt;"",IF(E35=0,$B5,0),"")</f>
        <v/>
      </c>
      <c r="L35" s="52" t="str">
        <f>IF(Setup!B42&lt;&gt;"",I35+J35+K35,"")</f>
        <v/>
      </c>
      <c r="M35" s="19" t="str">
        <f>IF(Setup!B42&lt;&gt;"",Payroll_Apr!P35,"")</f>
        <v/>
      </c>
      <c r="N35" s="46">
        <v>0</v>
      </c>
      <c r="O35" s="46">
        <v>0</v>
      </c>
      <c r="P35" s="52" t="str">
        <f>IF(Setup!B42&lt;&gt;"",M35+N35-O35,"")</f>
        <v/>
      </c>
      <c r="Q35" s="46">
        <v>0</v>
      </c>
      <c r="R35" s="47" t="str">
        <f>IF(Setup!B42&lt;&gt;"",L35-O35-Q35,"")</f>
        <v/>
      </c>
    </row>
    <row r="36" spans="1:18" ht="21.75" customHeight="1" x14ac:dyDescent="0.3">
      <c r="A36" s="1">
        <f>Setup!B43</f>
        <v>0</v>
      </c>
      <c r="B36" s="40" t="str">
        <f>IF(Setup!B43&lt;&gt;"",Setup!C43,"")</f>
        <v/>
      </c>
      <c r="C36" s="41" t="str">
        <f>IF(Setup!B43&lt;&gt;"",$B3,"")</f>
        <v/>
      </c>
      <c r="D36" s="42" t="str">
        <f>IF(Setup!B43&lt;&gt;"",Attendance_May!AG39,"")</f>
        <v/>
      </c>
      <c r="E36" s="41" t="str">
        <f>IF(Setup!B43&lt;&gt;"",Attendance_May!AG40,"")</f>
        <v/>
      </c>
      <c r="F36" s="43" t="str">
        <f>IFERROR(IF(Setup!B43&lt;&gt;"",B36/C36,""),"")</f>
        <v/>
      </c>
      <c r="G36" s="42" t="str">
        <f>IF(Setup!B43&lt;&gt;"",MIN(D36,C36),"")</f>
        <v/>
      </c>
      <c r="H36" s="42" t="str">
        <f>IF(Setup!B43&lt;&gt;"",MAX(D36-C36,0),"")</f>
        <v/>
      </c>
      <c r="I36" s="16" t="str">
        <f>IF(Setup!B43&lt;&gt;"",F36*G36,"")</f>
        <v/>
      </c>
      <c r="J36" s="16" t="str">
        <f>IF(Setup!B43&lt;&gt;"",F36*H36*$B4,"")</f>
        <v/>
      </c>
      <c r="K36" s="16" t="str">
        <f>IF(Setup!B43&lt;&gt;"",IF(E36=0,$B5,0),"")</f>
        <v/>
      </c>
      <c r="L36" s="44" t="str">
        <f>IF(Setup!B43&lt;&gt;"",I36+J36+K36,"")</f>
        <v/>
      </c>
      <c r="M36" s="16" t="str">
        <f>IF(Setup!B43&lt;&gt;"",Payroll_Apr!P36,"")</f>
        <v/>
      </c>
      <c r="N36" s="46">
        <v>0</v>
      </c>
      <c r="O36" s="46">
        <v>0</v>
      </c>
      <c r="P36" s="44" t="str">
        <f>IF(Setup!B43&lt;&gt;"",M36+N36-O36,"")</f>
        <v/>
      </c>
      <c r="Q36" s="46">
        <v>0</v>
      </c>
      <c r="R36" s="47" t="str">
        <f>IF(Setup!B43&lt;&gt;"",L36-O36-Q36,"")</f>
        <v/>
      </c>
    </row>
    <row r="37" spans="1:18" ht="21.75" customHeight="1" x14ac:dyDescent="0.3">
      <c r="A37" s="18">
        <f>Setup!B44</f>
        <v>0</v>
      </c>
      <c r="B37" s="48" t="str">
        <f>IF(Setup!B44&lt;&gt;"",Setup!C44,"")</f>
        <v/>
      </c>
      <c r="C37" s="49" t="str">
        <f>IF(Setup!B44&lt;&gt;"",$B3,"")</f>
        <v/>
      </c>
      <c r="D37" s="50" t="str">
        <f>IF(Setup!B44&lt;&gt;"",Attendance_May!AH39,"")</f>
        <v/>
      </c>
      <c r="E37" s="49" t="str">
        <f>IF(Setup!B44&lt;&gt;"",Attendance_May!AH40,"")</f>
        <v/>
      </c>
      <c r="F37" s="51" t="str">
        <f>IFERROR(IF(Setup!B44&lt;&gt;"",B37/C37,""),"")</f>
        <v/>
      </c>
      <c r="G37" s="50" t="str">
        <f>IF(Setup!B44&lt;&gt;"",MIN(D37,C37),"")</f>
        <v/>
      </c>
      <c r="H37" s="50" t="str">
        <f>IF(Setup!B44&lt;&gt;"",MAX(D37-C37,0),"")</f>
        <v/>
      </c>
      <c r="I37" s="19" t="str">
        <f>IF(Setup!B44&lt;&gt;"",F37*G37,"")</f>
        <v/>
      </c>
      <c r="J37" s="19" t="str">
        <f>IF(Setup!B44&lt;&gt;"",F37*H37*$B4,"")</f>
        <v/>
      </c>
      <c r="K37" s="19" t="str">
        <f>IF(Setup!B44&lt;&gt;"",IF(E37=0,$B5,0),"")</f>
        <v/>
      </c>
      <c r="L37" s="52" t="str">
        <f>IF(Setup!B44&lt;&gt;"",I37+J37+K37,"")</f>
        <v/>
      </c>
      <c r="M37" s="19" t="str">
        <f>IF(Setup!B44&lt;&gt;"",Payroll_Apr!P37,"")</f>
        <v/>
      </c>
      <c r="N37" s="46">
        <v>0</v>
      </c>
      <c r="O37" s="46">
        <v>0</v>
      </c>
      <c r="P37" s="52" t="str">
        <f>IF(Setup!B44&lt;&gt;"",M37+N37-O37,"")</f>
        <v/>
      </c>
      <c r="Q37" s="46">
        <v>0</v>
      </c>
      <c r="R37" s="47" t="str">
        <f>IF(Setup!B44&lt;&gt;"",L37-O37-Q37,"")</f>
        <v/>
      </c>
    </row>
    <row r="38" spans="1:18" ht="25.5" customHeight="1" x14ac:dyDescent="0.3">
      <c r="A38" s="55" t="s">
        <v>113</v>
      </c>
      <c r="B38" s="55"/>
      <c r="C38" s="17">
        <f>SUM(C8:C37)</f>
        <v>2912</v>
      </c>
      <c r="D38" s="36">
        <f>SUM(D8:D37)</f>
        <v>2457.8000000000002</v>
      </c>
      <c r="E38" s="17">
        <f>SUM(E8:E37)</f>
        <v>0</v>
      </c>
      <c r="F38" s="17"/>
      <c r="G38" s="36">
        <f t="shared" ref="G38:R38" si="0">SUM(G8:G37)</f>
        <v>2457.8000000000002</v>
      </c>
      <c r="H38" s="36">
        <f t="shared" si="0"/>
        <v>0</v>
      </c>
      <c r="I38" s="17">
        <f t="shared" si="0"/>
        <v>442722.83653846156</v>
      </c>
      <c r="J38" s="17">
        <f t="shared" si="0"/>
        <v>0</v>
      </c>
      <c r="K38" s="17">
        <f t="shared" si="0"/>
        <v>0</v>
      </c>
      <c r="L38" s="17">
        <f t="shared" si="0"/>
        <v>442722.83653846156</v>
      </c>
      <c r="M38" s="17">
        <f t="shared" si="0"/>
        <v>36500</v>
      </c>
      <c r="N38" s="17">
        <f t="shared" si="0"/>
        <v>313500</v>
      </c>
      <c r="O38" s="17">
        <f t="shared" si="0"/>
        <v>285881</v>
      </c>
      <c r="P38" s="17">
        <f t="shared" si="0"/>
        <v>64119</v>
      </c>
      <c r="Q38" s="17">
        <f t="shared" si="0"/>
        <v>0</v>
      </c>
      <c r="R38" s="17">
        <f t="shared" si="0"/>
        <v>156841.83653846153</v>
      </c>
    </row>
    <row r="40" spans="1:18" ht="19.5" customHeight="1" x14ac:dyDescent="0.3">
      <c r="A40" s="56" t="s">
        <v>114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</sheetData>
  <mergeCells count="3">
    <mergeCell ref="A1:R1"/>
    <mergeCell ref="A38:B38"/>
    <mergeCell ref="A40:R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6600"/>
  </sheetPr>
  <dimension ref="A1:R40"/>
  <sheetViews>
    <sheetView showGridLines="0" topLeftCell="C1" zoomScaleNormal="100" workbookViewId="0">
      <pane ySplit="7" topLeftCell="A8" activePane="bottomLeft" state="frozen"/>
      <selection pane="bottomLeft" activeCell="A15" sqref="A15:XFD15"/>
    </sheetView>
  </sheetViews>
  <sheetFormatPr defaultColWidth="8.5546875" defaultRowHeight="14.4" x14ac:dyDescent="0.3"/>
  <cols>
    <col min="1" max="1" width="22" customWidth="1"/>
    <col min="2" max="2" width="15" customWidth="1"/>
    <col min="3" max="4" width="11" customWidth="1"/>
    <col min="5" max="5" width="10" customWidth="1"/>
    <col min="6" max="7" width="12" customWidth="1"/>
    <col min="8" max="8" width="10" customWidth="1"/>
    <col min="9" max="9" width="14" customWidth="1"/>
    <col min="10" max="10" width="13" customWidth="1"/>
    <col min="11" max="11" width="16" customWidth="1"/>
    <col min="12" max="12" width="14" customWidth="1"/>
    <col min="13" max="16" width="12" customWidth="1"/>
    <col min="17" max="17" width="15" customWidth="1"/>
    <col min="18" max="18" width="14" customWidth="1"/>
  </cols>
  <sheetData>
    <row r="1" spans="1:18" ht="31.5" customHeight="1" x14ac:dyDescent="0.3">
      <c r="A1" s="54" t="s">
        <v>123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1" t="s">
        <v>93</v>
      </c>
      <c r="B2" s="10" t="s">
        <v>124</v>
      </c>
    </row>
    <row r="3" spans="1:18" ht="19.5" customHeight="1" x14ac:dyDescent="0.3">
      <c r="A3" s="1" t="s">
        <v>95</v>
      </c>
      <c r="B3" s="10">
        <v>208</v>
      </c>
    </row>
    <row r="4" spans="1:18" ht="19.5" customHeight="1" x14ac:dyDescent="0.3">
      <c r="A4" s="1" t="s">
        <v>14</v>
      </c>
      <c r="B4" s="38">
        <f>Setup!B9</f>
        <v>1.5</v>
      </c>
    </row>
    <row r="5" spans="1:18" ht="19.5" customHeight="1" x14ac:dyDescent="0.3">
      <c r="A5" s="1" t="s">
        <v>16</v>
      </c>
      <c r="B5" s="12">
        <f>Setup!B10</f>
        <v>0</v>
      </c>
    </row>
    <row r="7" spans="1:18" ht="36" customHeight="1" x14ac:dyDescent="0.3">
      <c r="A7" s="39" t="s">
        <v>37</v>
      </c>
      <c r="B7" s="39" t="s">
        <v>96</v>
      </c>
      <c r="C7" s="39" t="s">
        <v>97</v>
      </c>
      <c r="D7" s="39" t="s">
        <v>98</v>
      </c>
      <c r="E7" s="39" t="s">
        <v>99</v>
      </c>
      <c r="F7" s="39" t="s">
        <v>100</v>
      </c>
      <c r="G7" s="39" t="s">
        <v>101</v>
      </c>
      <c r="H7" s="39" t="s">
        <v>102</v>
      </c>
      <c r="I7" s="21" t="s">
        <v>103</v>
      </c>
      <c r="J7" s="21" t="s">
        <v>104</v>
      </c>
      <c r="K7" s="21" t="s">
        <v>105</v>
      </c>
      <c r="L7" s="21" t="s">
        <v>106</v>
      </c>
      <c r="M7" s="21" t="s">
        <v>107</v>
      </c>
      <c r="N7" s="21" t="s">
        <v>108</v>
      </c>
      <c r="O7" s="21" t="s">
        <v>109</v>
      </c>
      <c r="P7" s="21" t="s">
        <v>110</v>
      </c>
      <c r="Q7" s="21" t="s">
        <v>111</v>
      </c>
      <c r="R7" s="21" t="s">
        <v>112</v>
      </c>
    </row>
    <row r="8" spans="1:18" ht="21.75" customHeight="1" x14ac:dyDescent="0.3">
      <c r="A8" s="1" t="str">
        <f>Setup!B15</f>
        <v>Sheraz</v>
      </c>
      <c r="B8" s="40">
        <f>IF(Setup!B15&lt;&gt;"",Setup!C15,"")</f>
        <v>38000</v>
      </c>
      <c r="C8" s="41">
        <f>IF(Setup!B15&lt;&gt;"",$B3,"")</f>
        <v>208</v>
      </c>
      <c r="D8" s="42">
        <f>IF(Setup!B15&lt;&gt;"",Attendance_Jun!E38,"")</f>
        <v>183.25</v>
      </c>
      <c r="E8" s="41">
        <f>IF(Setup!B15&lt;&gt;"",Attendance_Jun!E39,"")</f>
        <v>0</v>
      </c>
      <c r="F8" s="43">
        <f>IFERROR(IF(Setup!B15&lt;&gt;"",B8/C8,""),"")</f>
        <v>182.69230769230768</v>
      </c>
      <c r="G8" s="42">
        <f>IF(Setup!B15&lt;&gt;"",MIN(D8,C8),"")</f>
        <v>183.25</v>
      </c>
      <c r="H8" s="42">
        <f>IF(Setup!B15&lt;&gt;"",MAX(D8-C8,0),"")</f>
        <v>0</v>
      </c>
      <c r="I8" s="16">
        <f>IF(Setup!B15&lt;&gt;"",F8*G8,"")</f>
        <v>33478.365384615383</v>
      </c>
      <c r="J8" s="16">
        <f>IF(Setup!B15&lt;&gt;"",F8*H8*$B4,"")</f>
        <v>0</v>
      </c>
      <c r="K8" s="16">
        <f>IF(Setup!B15&lt;&gt;"",IF(E8=0,$B5,0),"")</f>
        <v>0</v>
      </c>
      <c r="L8" s="44">
        <f>IF(Setup!B15&lt;&gt;"",I8+J8+K8,"")</f>
        <v>33478.365384615383</v>
      </c>
      <c r="M8" s="16">
        <f>IF(Setup!B15&lt;&gt;"",Payroll_May!P8,"")</f>
        <v>10000</v>
      </c>
      <c r="N8" s="46">
        <v>30000</v>
      </c>
      <c r="O8" s="46">
        <v>0</v>
      </c>
      <c r="P8" s="44">
        <f>IF(Setup!B15&lt;&gt;"",M8+N8-O8,"")</f>
        <v>40000</v>
      </c>
      <c r="Q8" s="46">
        <v>0</v>
      </c>
      <c r="R8" s="47">
        <f>IF(Setup!B15&lt;&gt;"",L8-O8-Q8,"")</f>
        <v>33478.365384615383</v>
      </c>
    </row>
    <row r="9" spans="1:18" ht="21.75" customHeight="1" x14ac:dyDescent="0.3">
      <c r="A9" s="18" t="str">
        <f>Setup!B16</f>
        <v>Zain</v>
      </c>
      <c r="B9" s="48">
        <f>IF(Setup!B16&lt;&gt;"",Setup!C16,"")</f>
        <v>53000</v>
      </c>
      <c r="C9" s="49">
        <f>IF(Setup!B16&lt;&gt;"",$B3,"")</f>
        <v>208</v>
      </c>
      <c r="D9" s="50">
        <f>IF(Setup!B16&lt;&gt;"",Attendance_Jun!F38,"")</f>
        <v>200.60000000000002</v>
      </c>
      <c r="E9" s="49">
        <f>IF(Setup!B16&lt;&gt;"",Attendance_Jun!F39,"")</f>
        <v>0</v>
      </c>
      <c r="F9" s="51">
        <f>IFERROR(IF(Setup!B16&lt;&gt;"",B9/C9,""),"")</f>
        <v>254.80769230769232</v>
      </c>
      <c r="G9" s="50">
        <f>IF(Setup!B16&lt;&gt;"",MIN(D9,C9),"")</f>
        <v>200.60000000000002</v>
      </c>
      <c r="H9" s="50">
        <f>IF(Setup!B16&lt;&gt;"",MAX(D9-C9,0),"")</f>
        <v>0</v>
      </c>
      <c r="I9" s="19">
        <f>IF(Setup!B16&lt;&gt;"",F9*G9,"")</f>
        <v>51114.423076923085</v>
      </c>
      <c r="J9" s="19">
        <f>IF(Setup!B16&lt;&gt;"",F9*H9*$B4,"")</f>
        <v>0</v>
      </c>
      <c r="K9" s="19">
        <f>IF(Setup!B16&lt;&gt;"",IF(E9=0,$B5,0),"")</f>
        <v>0</v>
      </c>
      <c r="L9" s="52">
        <f>IF(Setup!B16&lt;&gt;"",I9+J9+K9,"")</f>
        <v>51114.423076923085</v>
      </c>
      <c r="M9" s="19">
        <f>IF(Setup!B16&lt;&gt;"",Payroll_May!P9,"")</f>
        <v>0</v>
      </c>
      <c r="N9" s="46">
        <v>32000</v>
      </c>
      <c r="O9" s="46">
        <v>32000</v>
      </c>
      <c r="P9" s="52">
        <f>IF(Setup!B16&lt;&gt;"",M9+N9-O9,"")</f>
        <v>0</v>
      </c>
      <c r="Q9" s="46">
        <v>0</v>
      </c>
      <c r="R9" s="47">
        <f>IF(Setup!B16&lt;&gt;"",L9-O9-Q9,"")</f>
        <v>19114.423076923085</v>
      </c>
    </row>
    <row r="10" spans="1:18" ht="21.75" customHeight="1" x14ac:dyDescent="0.3">
      <c r="A10" s="1" t="str">
        <f>Setup!B17</f>
        <v>Yousaf</v>
      </c>
      <c r="B10" s="40">
        <f>IF(Setup!B17&lt;&gt;"",Setup!C17,"")</f>
        <v>28000</v>
      </c>
      <c r="C10" s="41">
        <f>IF(Setup!B17&lt;&gt;"",$B3,"")</f>
        <v>208</v>
      </c>
      <c r="D10" s="42">
        <f>IF(Setup!B17&lt;&gt;"",Attendance_Jun!G38,"")</f>
        <v>201.08</v>
      </c>
      <c r="E10" s="41">
        <f>IF(Setup!B17&lt;&gt;"",Attendance_Jun!G39,"")</f>
        <v>0</v>
      </c>
      <c r="F10" s="43">
        <f>IFERROR(IF(Setup!B17&lt;&gt;"",B10/C10,""),"")</f>
        <v>134.61538461538461</v>
      </c>
      <c r="G10" s="42">
        <f>IF(Setup!B17&lt;&gt;"",MIN(D10,C10),"")</f>
        <v>201.08</v>
      </c>
      <c r="H10" s="42">
        <f>IF(Setup!B17&lt;&gt;"",MAX(D10-C10,0),"")</f>
        <v>0</v>
      </c>
      <c r="I10" s="16">
        <f>IF(Setup!B17&lt;&gt;"",F10*G10,"")</f>
        <v>27068.461538461539</v>
      </c>
      <c r="J10" s="16">
        <f>IF(Setup!B17&lt;&gt;"",F10*H10*$B4,"")</f>
        <v>0</v>
      </c>
      <c r="K10" s="16">
        <f>IF(Setup!B17&lt;&gt;"",IF(E10=0,$B5,0),"")</f>
        <v>0</v>
      </c>
      <c r="L10" s="44">
        <f>IF(Setup!B17&lt;&gt;"",I10+J10+K10,"")</f>
        <v>27068.461538461539</v>
      </c>
      <c r="M10" s="16">
        <f>IF(Setup!B17&lt;&gt;"",Payroll_May!P10,"")</f>
        <v>0</v>
      </c>
      <c r="N10" s="46">
        <v>6000</v>
      </c>
      <c r="O10" s="46">
        <v>6000</v>
      </c>
      <c r="P10" s="44">
        <f>IF(Setup!B17&lt;&gt;"",M10+N10-O10,"")</f>
        <v>0</v>
      </c>
      <c r="Q10" s="46">
        <v>20000</v>
      </c>
      <c r="R10" s="47">
        <f>IF(Setup!B17&lt;&gt;"",L10-O10-Q10,"")</f>
        <v>1068.461538461539</v>
      </c>
    </row>
    <row r="11" spans="1:18" ht="21.75" customHeight="1" x14ac:dyDescent="0.3">
      <c r="A11" s="18" t="str">
        <f>Setup!B18</f>
        <v>Hamza</v>
      </c>
      <c r="B11" s="48">
        <f>IF(Setup!B18&lt;&gt;"",Setup!C18,"")</f>
        <v>25000</v>
      </c>
      <c r="C11" s="49">
        <f>IF(Setup!B18&lt;&gt;"",$B3,"")</f>
        <v>208</v>
      </c>
      <c r="D11" s="50">
        <f>IF(Setup!B18&lt;&gt;"",Attendance_Jun!H38,"")</f>
        <v>164.15</v>
      </c>
      <c r="E11" s="49">
        <f>IF(Setup!B18&lt;&gt;"",Attendance_Jun!H39,"")</f>
        <v>0</v>
      </c>
      <c r="F11" s="51">
        <f>IFERROR(IF(Setup!B18&lt;&gt;"",B11/C11,""),"")</f>
        <v>120.19230769230769</v>
      </c>
      <c r="G11" s="50">
        <f>IF(Setup!B18&lt;&gt;"",MIN(D11,C11),"")</f>
        <v>164.15</v>
      </c>
      <c r="H11" s="50">
        <f>IF(Setup!B18&lt;&gt;"",MAX(D11-C11,0),"")</f>
        <v>0</v>
      </c>
      <c r="I11" s="19">
        <f>IF(Setup!B18&lt;&gt;"",F11*G11,"")</f>
        <v>19729.567307692309</v>
      </c>
      <c r="J11" s="19">
        <f>IF(Setup!B18&lt;&gt;"",F11*H11*$B4,"")</f>
        <v>0</v>
      </c>
      <c r="K11" s="19">
        <f>IF(Setup!B18&lt;&gt;"",IF(E11=0,$B5,0),"")</f>
        <v>0</v>
      </c>
      <c r="L11" s="52">
        <f>IF(Setup!B18&lt;&gt;"",I11+J11+K11,"")</f>
        <v>19729.567307692309</v>
      </c>
      <c r="M11" s="19">
        <f>IF(Setup!B18&lt;&gt;"",Payroll_May!P11,"")</f>
        <v>19119</v>
      </c>
      <c r="N11" s="46">
        <v>4000</v>
      </c>
      <c r="O11" s="46">
        <v>10119</v>
      </c>
      <c r="P11" s="52">
        <f>IF(Setup!B18&lt;&gt;"",M11+N11-O11,"")</f>
        <v>13000</v>
      </c>
      <c r="Q11" s="46">
        <v>0</v>
      </c>
      <c r="R11" s="47">
        <f>IF(Setup!B18&lt;&gt;"",L11-O11-Q11,"")</f>
        <v>9610.5673076923085</v>
      </c>
    </row>
    <row r="12" spans="1:18" ht="21.75" customHeight="1" x14ac:dyDescent="0.3">
      <c r="A12" s="1" t="str">
        <f>Setup!B19</f>
        <v>Amjad</v>
      </c>
      <c r="B12" s="40">
        <f>IF(Setup!B19&lt;&gt;"",Setup!C19,"")</f>
        <v>25000</v>
      </c>
      <c r="C12" s="41">
        <f>IF(Setup!B19&lt;&gt;"",$B3,"")</f>
        <v>208</v>
      </c>
      <c r="D12" s="42">
        <f>IF(Setup!B19&lt;&gt;"",Attendance_Jun!I38,"")</f>
        <v>180.62999999999997</v>
      </c>
      <c r="E12" s="41">
        <f>IF(Setup!B19&lt;&gt;"",Attendance_Jun!I39,"")</f>
        <v>0</v>
      </c>
      <c r="F12" s="43">
        <f>IFERROR(IF(Setup!B19&lt;&gt;"",B12/C12,""),"")</f>
        <v>120.19230769230769</v>
      </c>
      <c r="G12" s="42">
        <f>IF(Setup!B19&lt;&gt;"",MIN(D12,C12),"")</f>
        <v>180.62999999999997</v>
      </c>
      <c r="H12" s="42">
        <f>IF(Setup!B19&lt;&gt;"",MAX(D12-C12,0),"")</f>
        <v>0</v>
      </c>
      <c r="I12" s="16">
        <f>IF(Setup!B19&lt;&gt;"",F12*G12,"")</f>
        <v>21710.336538461535</v>
      </c>
      <c r="J12" s="16">
        <f>IF(Setup!B19&lt;&gt;"",F12*H12*$B4,"")</f>
        <v>0</v>
      </c>
      <c r="K12" s="16">
        <f>IF(Setup!B19&lt;&gt;"",IF(E12=0,$B5,0),"")</f>
        <v>0</v>
      </c>
      <c r="L12" s="44">
        <f>IF(Setup!B19&lt;&gt;"",I12+J12+K12,"")</f>
        <v>21710.336538461535</v>
      </c>
      <c r="M12" s="16">
        <f>IF(Setup!B19&lt;&gt;"",Payroll_May!P12,"")</f>
        <v>0</v>
      </c>
      <c r="N12" s="46">
        <v>8000</v>
      </c>
      <c r="O12" s="46">
        <v>3000</v>
      </c>
      <c r="P12" s="44">
        <f>IF(Setup!B19&lt;&gt;"",M12+N12-O12,"")</f>
        <v>5000</v>
      </c>
      <c r="Q12" s="46">
        <v>0</v>
      </c>
      <c r="R12" s="47">
        <f>IF(Setup!B19&lt;&gt;"",L12-O12-Q12,"")</f>
        <v>18710.336538461535</v>
      </c>
    </row>
    <row r="13" spans="1:18" ht="21.75" customHeight="1" x14ac:dyDescent="0.3">
      <c r="A13" s="18" t="str">
        <f>Setup!B20</f>
        <v>Tanveer</v>
      </c>
      <c r="B13" s="48">
        <f>IF(Setup!B20&lt;&gt;"",Setup!C20,"")</f>
        <v>25000</v>
      </c>
      <c r="C13" s="49">
        <f>IF(Setup!B20&lt;&gt;"",$B3,"")</f>
        <v>208</v>
      </c>
      <c r="D13" s="50">
        <f>IF(Setup!B20&lt;&gt;"",Attendance_Jun!J38,"")</f>
        <v>208</v>
      </c>
      <c r="E13" s="49">
        <f>IF(Setup!B20&lt;&gt;"",Attendance_Jun!J39,"")</f>
        <v>0</v>
      </c>
      <c r="F13" s="51">
        <f>IFERROR(IF(Setup!B20&lt;&gt;"",B13/C13,""),"")</f>
        <v>120.19230769230769</v>
      </c>
      <c r="G13" s="50">
        <f>IF(Setup!B20&lt;&gt;"",MIN(D13,C13),"")</f>
        <v>208</v>
      </c>
      <c r="H13" s="50">
        <f>IF(Setup!B20&lt;&gt;"",MAX(D13-C13,0),"")</f>
        <v>0</v>
      </c>
      <c r="I13" s="19">
        <f>IF(Setup!B20&lt;&gt;"",F13*G13,"")</f>
        <v>25000</v>
      </c>
      <c r="J13" s="19">
        <f>IF(Setup!B20&lt;&gt;"",F13*H13*$B4,"")</f>
        <v>0</v>
      </c>
      <c r="K13" s="19">
        <f>IF(Setup!B20&lt;&gt;"",IF(E13=0,$B5,0),"")</f>
        <v>0</v>
      </c>
      <c r="L13" s="52">
        <f>IF(Setup!B20&lt;&gt;"",I13+J13+K13,"")</f>
        <v>25000</v>
      </c>
      <c r="M13" s="19">
        <f>IF(Setup!B20&lt;&gt;"",Payroll_May!P13,"")</f>
        <v>0</v>
      </c>
      <c r="N13" s="46">
        <v>15000</v>
      </c>
      <c r="O13" s="46">
        <v>15000</v>
      </c>
      <c r="P13" s="52">
        <f>IF(Setup!B20&lt;&gt;"",M13+N13-O13,"")</f>
        <v>0</v>
      </c>
      <c r="Q13" s="46">
        <v>0</v>
      </c>
      <c r="R13" s="47">
        <f>IF(Setup!B20&lt;&gt;"",L13-O13-Q13,"")</f>
        <v>10000</v>
      </c>
    </row>
    <row r="14" spans="1:18" ht="21.75" customHeight="1" x14ac:dyDescent="0.3">
      <c r="A14" s="1" t="str">
        <f>Setup!B21</f>
        <v>Ali Zaman</v>
      </c>
      <c r="B14" s="40">
        <f>IF(Setup!B21&lt;&gt;"",Setup!C21,"")</f>
        <v>75000</v>
      </c>
      <c r="C14" s="41">
        <f>IF(Setup!B21&lt;&gt;"",$B3,"")</f>
        <v>208</v>
      </c>
      <c r="D14" s="42">
        <f>IF(Setup!B21&lt;&gt;"",Attendance_Jun!K38,"")</f>
        <v>208</v>
      </c>
      <c r="E14" s="41">
        <f>IF(Setup!B21&lt;&gt;"",Attendance_Jun!K39,"")</f>
        <v>0</v>
      </c>
      <c r="F14" s="43">
        <f>IFERROR(IF(Setup!B21&lt;&gt;"",B14/C14,""),"")</f>
        <v>360.57692307692309</v>
      </c>
      <c r="G14" s="42">
        <f>IF(Setup!B21&lt;&gt;"",MIN(D14,C14),"")</f>
        <v>208</v>
      </c>
      <c r="H14" s="42">
        <f>IF(Setup!B21&lt;&gt;"",MAX(D14-C14,0),"")</f>
        <v>0</v>
      </c>
      <c r="I14" s="16">
        <f>IF(Setup!B21&lt;&gt;"",F14*G14,"")</f>
        <v>75000</v>
      </c>
      <c r="J14" s="16">
        <f>IF(Setup!B21&lt;&gt;"",F14*H14*$B4,"")</f>
        <v>0</v>
      </c>
      <c r="K14" s="16">
        <f>IF(Setup!B21&lt;&gt;"",IF(E14=0,$B5,0),"")</f>
        <v>0</v>
      </c>
      <c r="L14" s="44">
        <f>IF(Setup!B21&lt;&gt;"",I14+J14+K14,"")</f>
        <v>75000</v>
      </c>
      <c r="M14" s="16">
        <f>IF(Setup!B21&lt;&gt;"",Payroll_May!P14,"")</f>
        <v>35000</v>
      </c>
      <c r="N14" s="46"/>
      <c r="O14" s="46">
        <v>20000</v>
      </c>
      <c r="P14" s="44">
        <f>IF(Setup!B21&lt;&gt;"",M14+N14-O14,"")</f>
        <v>15000</v>
      </c>
      <c r="Q14" s="46">
        <v>0</v>
      </c>
      <c r="R14" s="47">
        <f>IF(Setup!B21&lt;&gt;"",L14-O14-Q14,"")</f>
        <v>55000</v>
      </c>
    </row>
    <row r="15" spans="1:18" ht="21.75" customHeight="1" x14ac:dyDescent="0.3">
      <c r="A15" s="18" t="str">
        <f>Setup!B22</f>
        <v>Awais Ali</v>
      </c>
      <c r="B15" s="48">
        <f>IF(Setup!B22&lt;&gt;"",Setup!C22,"")</f>
        <v>25000</v>
      </c>
      <c r="C15" s="49">
        <f>IF(Setup!B22&lt;&gt;"",$B3,"")</f>
        <v>208</v>
      </c>
      <c r="D15" s="50">
        <f>IF(Setup!B22&lt;&gt;"",Attendance_Jun!L38,"")</f>
        <v>163</v>
      </c>
      <c r="E15" s="49">
        <f>IF(Setup!B22&lt;&gt;"",Attendance_Jun!L39,"")</f>
        <v>0</v>
      </c>
      <c r="F15" s="51">
        <f>IFERROR(IF(Setup!B22&lt;&gt;"",B15/C15,""),"")</f>
        <v>120.19230769230769</v>
      </c>
      <c r="G15" s="50">
        <f>IF(Setup!B22&lt;&gt;"",MIN(D15,C15),"")</f>
        <v>163</v>
      </c>
      <c r="H15" s="50">
        <f>IF(Setup!B22&lt;&gt;"",MAX(D15-C15,0),"")</f>
        <v>0</v>
      </c>
      <c r="I15" s="19">
        <f>IF(Setup!B22&lt;&gt;"",F15*G15,"")</f>
        <v>19591.346153846152</v>
      </c>
      <c r="J15" s="19">
        <f>IF(Setup!B22&lt;&gt;"",F15*H15*$B4,"")</f>
        <v>0</v>
      </c>
      <c r="K15" s="19">
        <f>IF(Setup!B22&lt;&gt;"",IF(E15=0,$B5,0),"")</f>
        <v>0</v>
      </c>
      <c r="L15" s="52">
        <f>IF(Setup!B22&lt;&gt;"",I15+J15+K15,"")</f>
        <v>19591.346153846152</v>
      </c>
      <c r="M15" s="19">
        <f>IF(Setup!B22&lt;&gt;"",Payroll_May!P15,"")</f>
        <v>0</v>
      </c>
      <c r="N15" s="46">
        <v>8000</v>
      </c>
      <c r="O15" s="46">
        <v>8000</v>
      </c>
      <c r="P15" s="52">
        <f>IF(Setup!B22&lt;&gt;"",M15+N15-O15,"")</f>
        <v>0</v>
      </c>
      <c r="Q15" s="46">
        <v>0</v>
      </c>
      <c r="R15" s="47">
        <f>IF(Setup!B22&lt;&gt;"",L15-O15-Q15,"")</f>
        <v>11591.346153846152</v>
      </c>
    </row>
    <row r="16" spans="1:18" ht="21.75" customHeight="1" x14ac:dyDescent="0.3">
      <c r="A16" s="1" t="str">
        <f>Setup!B23</f>
        <v>Ishtiaq</v>
      </c>
      <c r="B16" s="40">
        <f>IF(Setup!B23&lt;&gt;"",Setup!C23,"")</f>
        <v>25000</v>
      </c>
      <c r="C16" s="41">
        <f>IF(Setup!B23&lt;&gt;"",$B3,"")</f>
        <v>208</v>
      </c>
      <c r="D16" s="42">
        <f>IF(Setup!B23&lt;&gt;"",Attendance_Jun!M38,"")</f>
        <v>108.75</v>
      </c>
      <c r="E16" s="41">
        <f>IF(Setup!B23&lt;&gt;"",Attendance_Jun!M39,"")</f>
        <v>0</v>
      </c>
      <c r="F16" s="43">
        <f>IFERROR(IF(Setup!B23&lt;&gt;"",B16/C16,""),"")</f>
        <v>120.19230769230769</v>
      </c>
      <c r="G16" s="42">
        <f>IF(Setup!B23&lt;&gt;"",MIN(D16,C16),"")</f>
        <v>108.75</v>
      </c>
      <c r="H16" s="42">
        <f>IF(Setup!B23&lt;&gt;"",MAX(D16-C16,0),"")</f>
        <v>0</v>
      </c>
      <c r="I16" s="16">
        <f>IF(Setup!B23&lt;&gt;"",F16*G16,"")</f>
        <v>13070.913461538461</v>
      </c>
      <c r="J16" s="16">
        <f>IF(Setup!B23&lt;&gt;"",F16*H16*$B4,"")</f>
        <v>0</v>
      </c>
      <c r="K16" s="16">
        <f>IF(Setup!B23&lt;&gt;"",IF(E16=0,$B5,0),"")</f>
        <v>0</v>
      </c>
      <c r="L16" s="44">
        <f>IF(Setup!B23&lt;&gt;"",I16+J16+K16,"")</f>
        <v>13070.913461538461</v>
      </c>
      <c r="M16" s="16">
        <f>IF(Setup!B23&lt;&gt;"",Payroll_May!P16,"")</f>
        <v>0</v>
      </c>
      <c r="N16" s="46">
        <v>5000</v>
      </c>
      <c r="O16" s="46">
        <v>5000</v>
      </c>
      <c r="P16" s="44">
        <f>IF(Setup!B23&lt;&gt;"",M16+N16-O16,"")</f>
        <v>0</v>
      </c>
      <c r="Q16" s="46">
        <v>0</v>
      </c>
      <c r="R16" s="47">
        <f>IF(Setup!B23&lt;&gt;"",L16-O16-Q16,"")</f>
        <v>8070.913461538461</v>
      </c>
    </row>
    <row r="17" spans="1:18" ht="21.75" customHeight="1" x14ac:dyDescent="0.3">
      <c r="A17" s="18" t="str">
        <f>Setup!B24</f>
        <v>Usama bhai</v>
      </c>
      <c r="B17" s="48">
        <f>IF(Setup!B24&lt;&gt;"",Setup!C24,"")</f>
        <v>50000</v>
      </c>
      <c r="C17" s="49">
        <f>IF(Setup!B24&lt;&gt;"",$B3,"")</f>
        <v>208</v>
      </c>
      <c r="D17" s="50">
        <f>IF(Setup!B24&lt;&gt;"",Attendance_Jun!N38,"")</f>
        <v>208</v>
      </c>
      <c r="E17" s="49">
        <f>IF(Setup!B24&lt;&gt;"",Attendance_Jun!N39,"")</f>
        <v>0</v>
      </c>
      <c r="F17" s="51">
        <f>IFERROR(IF(Setup!B24&lt;&gt;"",B17/C17,""),"")</f>
        <v>240.38461538461539</v>
      </c>
      <c r="G17" s="50">
        <f>IF(Setup!B24&lt;&gt;"",MIN(D17,C17),"")</f>
        <v>208</v>
      </c>
      <c r="H17" s="50">
        <f>IF(Setup!B24&lt;&gt;"",MAX(D17-C17,0),"")</f>
        <v>0</v>
      </c>
      <c r="I17" s="19">
        <f>IF(Setup!B24&lt;&gt;"",F17*G17,"")</f>
        <v>50000</v>
      </c>
      <c r="J17" s="19">
        <f>IF(Setup!B24&lt;&gt;"",F17*H17*$B4,"")</f>
        <v>0</v>
      </c>
      <c r="K17" s="19">
        <f>IF(Setup!B24&lt;&gt;"",IF(E17=0,$B5,0),"")</f>
        <v>0</v>
      </c>
      <c r="L17" s="52">
        <f>IF(Setup!B24&lt;&gt;"",I17+J17+K17,"")</f>
        <v>50000</v>
      </c>
      <c r="M17" s="19">
        <f>IF(Setup!B24&lt;&gt;"",Payroll_May!P17,"")</f>
        <v>0</v>
      </c>
      <c r="N17" s="46">
        <v>0</v>
      </c>
      <c r="O17" s="46">
        <v>0</v>
      </c>
      <c r="P17" s="52">
        <f>IF(Setup!B24&lt;&gt;"",M17+N17-O17,"")</f>
        <v>0</v>
      </c>
      <c r="Q17" s="46">
        <v>0</v>
      </c>
      <c r="R17" s="47">
        <f>IF(Setup!B24&lt;&gt;"",L17-O17-Q17,"")</f>
        <v>50000</v>
      </c>
    </row>
    <row r="18" spans="1:18" ht="21.75" customHeight="1" x14ac:dyDescent="0.3">
      <c r="A18" s="1" t="str">
        <f>Setup!B25</f>
        <v>Ahtisham</v>
      </c>
      <c r="B18" s="40">
        <f>IF(Setup!B25&lt;&gt;"",Setup!C25,"")</f>
        <v>10000</v>
      </c>
      <c r="C18" s="41">
        <f>IF(Setup!B25&lt;&gt;"",$B3,"")</f>
        <v>208</v>
      </c>
      <c r="D18" s="42">
        <f>IF(Setup!B25&lt;&gt;"",Attendance_Jun!O38,"")</f>
        <v>0</v>
      </c>
      <c r="E18" s="41">
        <f>IF(Setup!B25&lt;&gt;"",Attendance_Jun!O39,"")</f>
        <v>0</v>
      </c>
      <c r="F18" s="43">
        <f>IFERROR(IF(Setup!B25&lt;&gt;"",B18/C18,""),"")</f>
        <v>48.07692307692308</v>
      </c>
      <c r="G18" s="42">
        <f>IF(Setup!B25&lt;&gt;"",MIN(D18,C18),"")</f>
        <v>0</v>
      </c>
      <c r="H18" s="42">
        <f>IF(Setup!B25&lt;&gt;"",MAX(D18-C18,0),"")</f>
        <v>0</v>
      </c>
      <c r="I18" s="16">
        <f>IF(Setup!B25&lt;&gt;"",F18*G18,"")</f>
        <v>0</v>
      </c>
      <c r="J18" s="16">
        <f>IF(Setup!B25&lt;&gt;"",F18*H18*$B4,"")</f>
        <v>0</v>
      </c>
      <c r="K18" s="16">
        <f>IF(Setup!B25&lt;&gt;"",IF(E18=0,$B5,0),"")</f>
        <v>0</v>
      </c>
      <c r="L18" s="44">
        <f>IF(Setup!B25&lt;&gt;"",I18+J18+K18,"")</f>
        <v>0</v>
      </c>
      <c r="M18" s="16">
        <f>IF(Setup!B25&lt;&gt;"",Payroll_May!P18,"")</f>
        <v>0</v>
      </c>
      <c r="N18" s="46">
        <v>0</v>
      </c>
      <c r="O18" s="46">
        <v>0</v>
      </c>
      <c r="P18" s="44">
        <f>IF(Setup!B25&lt;&gt;"",M18+N18-O18,"")</f>
        <v>0</v>
      </c>
      <c r="Q18" s="46">
        <v>0</v>
      </c>
      <c r="R18" s="47">
        <f>IF(Setup!B25&lt;&gt;"",L18-O18-Q18,"")</f>
        <v>0</v>
      </c>
    </row>
    <row r="19" spans="1:18" ht="21.75" customHeight="1" x14ac:dyDescent="0.3">
      <c r="A19" s="18" t="str">
        <f>Setup!B26</f>
        <v>Factory rent</v>
      </c>
      <c r="B19" s="48">
        <f>IF(Setup!B26&lt;&gt;"",Setup!C26,"")</f>
        <v>77000</v>
      </c>
      <c r="C19" s="49">
        <f>IF(Setup!B26&lt;&gt;"",$B3,"")</f>
        <v>208</v>
      </c>
      <c r="D19" s="50">
        <f>IF(Setup!B26&lt;&gt;"",Attendance_Jun!P38,"")</f>
        <v>208</v>
      </c>
      <c r="E19" s="49">
        <f>IF(Setup!B26&lt;&gt;"",Attendance_Jun!P39,"")</f>
        <v>0</v>
      </c>
      <c r="F19" s="51">
        <f>IFERROR(IF(Setup!B26&lt;&gt;"",B19/C19,""),"")</f>
        <v>370.19230769230768</v>
      </c>
      <c r="G19" s="50">
        <f>IF(Setup!B26&lt;&gt;"",MIN(D19,C19),"")</f>
        <v>208</v>
      </c>
      <c r="H19" s="50">
        <f>IF(Setup!B26&lt;&gt;"",MAX(D19-C19,0),"")</f>
        <v>0</v>
      </c>
      <c r="I19" s="19">
        <f>IF(Setup!B26&lt;&gt;"",F19*G19,"")</f>
        <v>77000</v>
      </c>
      <c r="J19" s="19">
        <f>IF(Setup!B26&lt;&gt;"",F19*H19*$B4,"")</f>
        <v>0</v>
      </c>
      <c r="K19" s="19">
        <f>IF(Setup!B26&lt;&gt;"",IF(E19=0,$B5,0),"")</f>
        <v>0</v>
      </c>
      <c r="L19" s="52">
        <f>IF(Setup!B26&lt;&gt;"",I19+J19+K19,"")</f>
        <v>77000</v>
      </c>
      <c r="M19" s="19">
        <f>IF(Setup!B26&lt;&gt;"",Payroll_May!P19,"")</f>
        <v>0</v>
      </c>
      <c r="N19" s="46">
        <v>0</v>
      </c>
      <c r="O19" s="46">
        <v>0</v>
      </c>
      <c r="P19" s="52">
        <f>IF(Setup!B26&lt;&gt;"",M19+N19-O19,"")</f>
        <v>0</v>
      </c>
      <c r="Q19" s="46">
        <v>0</v>
      </c>
      <c r="R19" s="47">
        <f>IF(Setup!B26&lt;&gt;"",L19-O19-Q19,"")</f>
        <v>77000</v>
      </c>
    </row>
    <row r="20" spans="1:18" ht="21.75" customHeight="1" x14ac:dyDescent="0.3">
      <c r="A20" s="1" t="str">
        <f>Setup!B27</f>
        <v>Internet bill</v>
      </c>
      <c r="B20" s="40">
        <f>IF(Setup!B27&lt;&gt;"",Setup!C27,"")</f>
        <v>2500</v>
      </c>
      <c r="C20" s="41">
        <f>IF(Setup!B27&lt;&gt;"",$B3,"")</f>
        <v>208</v>
      </c>
      <c r="D20" s="42">
        <f>IF(Setup!B27&lt;&gt;"",Attendance_Jun!Q38,"")</f>
        <v>208</v>
      </c>
      <c r="E20" s="41">
        <f>IF(Setup!B27&lt;&gt;"",Attendance_Jun!Q39,"")</f>
        <v>0</v>
      </c>
      <c r="F20" s="43">
        <f>IFERROR(IF(Setup!B27&lt;&gt;"",B20/C20,""),"")</f>
        <v>12.01923076923077</v>
      </c>
      <c r="G20" s="42">
        <f>IF(Setup!B27&lt;&gt;"",MIN(D20,C20),"")</f>
        <v>208</v>
      </c>
      <c r="H20" s="42">
        <f>IF(Setup!B27&lt;&gt;"",MAX(D20-C20,0),"")</f>
        <v>0</v>
      </c>
      <c r="I20" s="16">
        <f>IF(Setup!B27&lt;&gt;"",F20*G20,"")</f>
        <v>2500</v>
      </c>
      <c r="J20" s="16">
        <f>IF(Setup!B27&lt;&gt;"",F20*H20*$B4,"")</f>
        <v>0</v>
      </c>
      <c r="K20" s="16">
        <f>IF(Setup!B27&lt;&gt;"",IF(E20=0,$B5,0),"")</f>
        <v>0</v>
      </c>
      <c r="L20" s="44">
        <f>IF(Setup!B27&lt;&gt;"",I20+J20+K20,"")</f>
        <v>2500</v>
      </c>
      <c r="M20" s="16">
        <f>IF(Setup!B27&lt;&gt;"",Payroll_May!P20,"")</f>
        <v>0</v>
      </c>
      <c r="N20" s="46">
        <v>0</v>
      </c>
      <c r="O20" s="46">
        <v>0</v>
      </c>
      <c r="P20" s="44">
        <f>IF(Setup!B27&lt;&gt;"",M20+N20-O20,"")</f>
        <v>0</v>
      </c>
      <c r="Q20" s="46">
        <v>0</v>
      </c>
      <c r="R20" s="47">
        <f>IF(Setup!B27&lt;&gt;"",L20-O20-Q20,"")</f>
        <v>2500</v>
      </c>
    </row>
    <row r="21" spans="1:18" ht="21.75" customHeight="1" x14ac:dyDescent="0.3">
      <c r="A21" s="18" t="str">
        <f>Setup!B28</f>
        <v>Saqab</v>
      </c>
      <c r="B21" s="48">
        <f>IF(Setup!B28&lt;&gt;"",Setup!C28,"")</f>
        <v>25000</v>
      </c>
      <c r="C21" s="49">
        <f>IF(Setup!B28&lt;&gt;"",$B3,"")</f>
        <v>208</v>
      </c>
      <c r="D21" s="50">
        <f>IF(Setup!B28&lt;&gt;"",Attendance_Jun!R38,"")</f>
        <v>189</v>
      </c>
      <c r="E21" s="49">
        <f>IF(Setup!B28&lt;&gt;"",Attendance_Jun!R39,"")</f>
        <v>0</v>
      </c>
      <c r="F21" s="51">
        <f>IFERROR(IF(Setup!B28&lt;&gt;"",B21/C21,""),"")</f>
        <v>120.19230769230769</v>
      </c>
      <c r="G21" s="50">
        <f>IF(Setup!B28&lt;&gt;"",MIN(D21,C21),"")</f>
        <v>189</v>
      </c>
      <c r="H21" s="50">
        <f>IF(Setup!B28&lt;&gt;"",MAX(D21-C21,0),"")</f>
        <v>0</v>
      </c>
      <c r="I21" s="19">
        <f>IF(Setup!B28&lt;&gt;"",F21*G21,"")</f>
        <v>22716.346153846152</v>
      </c>
      <c r="J21" s="19">
        <f>IF(Setup!B28&lt;&gt;"",F21*H21*$B4,"")</f>
        <v>0</v>
      </c>
      <c r="K21" s="19">
        <f>IF(Setup!B28&lt;&gt;"",IF(E21=0,$B5,0),"")</f>
        <v>0</v>
      </c>
      <c r="L21" s="52">
        <f>IF(Setup!B28&lt;&gt;"",I21+J21+K21,"")</f>
        <v>22716.346153846152</v>
      </c>
      <c r="M21" s="19">
        <f>IF(Setup!B28&lt;&gt;"",Payroll_May!P21,"")</f>
        <v>0</v>
      </c>
      <c r="N21" s="46">
        <v>10000</v>
      </c>
      <c r="O21" s="46">
        <v>10000</v>
      </c>
      <c r="P21" s="52">
        <f>IF(Setup!B28&lt;&gt;"",M21+N21-O21,"")</f>
        <v>0</v>
      </c>
      <c r="Q21" s="46"/>
      <c r="R21" s="47">
        <f>IF(Setup!B28&lt;&gt;"",L21-O21-Q21,"")</f>
        <v>12716.346153846152</v>
      </c>
    </row>
    <row r="22" spans="1:18" ht="21.75" customHeight="1" x14ac:dyDescent="0.3">
      <c r="A22" s="1">
        <f>Setup!B29</f>
        <v>0</v>
      </c>
      <c r="B22" s="40" t="str">
        <f>IF(Setup!B29&lt;&gt;"",Setup!C29,"")</f>
        <v/>
      </c>
      <c r="C22" s="41" t="str">
        <f>IF(Setup!B29&lt;&gt;"",$B3,"")</f>
        <v/>
      </c>
      <c r="D22" s="42" t="str">
        <f>IF(Setup!B29&lt;&gt;"",Attendance_Jun!S38,"")</f>
        <v/>
      </c>
      <c r="E22" s="41" t="str">
        <f>IF(Setup!B29&lt;&gt;"",Attendance_Jun!S39,"")</f>
        <v/>
      </c>
      <c r="F22" s="43" t="str">
        <f>IFERROR(IF(Setup!B29&lt;&gt;"",B22/C22,""),"")</f>
        <v/>
      </c>
      <c r="G22" s="42" t="str">
        <f>IF(Setup!B29&lt;&gt;"",MIN(D22,C22),"")</f>
        <v/>
      </c>
      <c r="H22" s="42" t="str">
        <f>IF(Setup!B29&lt;&gt;"",MAX(D22-C22,0),"")</f>
        <v/>
      </c>
      <c r="I22" s="16" t="str">
        <f>IF(Setup!B29&lt;&gt;"",F22*G22,"")</f>
        <v/>
      </c>
      <c r="J22" s="16" t="str">
        <f>IF(Setup!B29&lt;&gt;"",F22*H22*$B4,"")</f>
        <v/>
      </c>
      <c r="K22" s="16" t="str">
        <f>IF(Setup!B29&lt;&gt;"",IF(E22=0,$B5,0),"")</f>
        <v/>
      </c>
      <c r="L22" s="44" t="str">
        <f>IF(Setup!B29&lt;&gt;"",I22+J22+K22,"")</f>
        <v/>
      </c>
      <c r="M22" s="16" t="str">
        <f>IF(Setup!B29&lt;&gt;"",Payroll_May!P22,"")</f>
        <v/>
      </c>
      <c r="N22" s="46">
        <v>0</v>
      </c>
      <c r="O22" s="46">
        <v>0</v>
      </c>
      <c r="P22" s="44" t="str">
        <f>IF(Setup!B29&lt;&gt;"",M22+N22-O22,"")</f>
        <v/>
      </c>
      <c r="Q22" s="46">
        <v>0</v>
      </c>
      <c r="R22" s="47" t="str">
        <f>IF(Setup!B29&lt;&gt;"",L22-O22-Q22,"")</f>
        <v/>
      </c>
    </row>
    <row r="23" spans="1:18" ht="21.75" customHeight="1" x14ac:dyDescent="0.3">
      <c r="A23" s="18">
        <f>Setup!B30</f>
        <v>0</v>
      </c>
      <c r="B23" s="48" t="str">
        <f>IF(Setup!B30&lt;&gt;"",Setup!C30,"")</f>
        <v/>
      </c>
      <c r="C23" s="49" t="str">
        <f>IF(Setup!B30&lt;&gt;"",$B3,"")</f>
        <v/>
      </c>
      <c r="D23" s="50" t="str">
        <f>IF(Setup!B30&lt;&gt;"",Attendance_Jun!T38,"")</f>
        <v/>
      </c>
      <c r="E23" s="49" t="str">
        <f>IF(Setup!B30&lt;&gt;"",Attendance_Jun!T39,"")</f>
        <v/>
      </c>
      <c r="F23" s="51" t="str">
        <f>IFERROR(IF(Setup!B30&lt;&gt;"",B23/C23,""),"")</f>
        <v/>
      </c>
      <c r="G23" s="50" t="str">
        <f>IF(Setup!B30&lt;&gt;"",MIN(D23,C23),"")</f>
        <v/>
      </c>
      <c r="H23" s="50" t="str">
        <f>IF(Setup!B30&lt;&gt;"",MAX(D23-C23,0),"")</f>
        <v/>
      </c>
      <c r="I23" s="19" t="str">
        <f>IF(Setup!B30&lt;&gt;"",F23*G23,"")</f>
        <v/>
      </c>
      <c r="J23" s="19" t="str">
        <f>IF(Setup!B30&lt;&gt;"",F23*H23*$B4,"")</f>
        <v/>
      </c>
      <c r="K23" s="19" t="str">
        <f>IF(Setup!B30&lt;&gt;"",IF(E23=0,$B5,0),"")</f>
        <v/>
      </c>
      <c r="L23" s="52" t="str">
        <f>IF(Setup!B30&lt;&gt;"",I23+J23+K23,"")</f>
        <v/>
      </c>
      <c r="M23" s="19" t="str">
        <f>IF(Setup!B30&lt;&gt;"",Payroll_May!P23,"")</f>
        <v/>
      </c>
      <c r="N23" s="46">
        <v>0</v>
      </c>
      <c r="O23" s="46">
        <v>0</v>
      </c>
      <c r="P23" s="52" t="str">
        <f>IF(Setup!B30&lt;&gt;"",M23+N23-O23,"")</f>
        <v/>
      </c>
      <c r="Q23" s="46">
        <v>0</v>
      </c>
      <c r="R23" s="47" t="str">
        <f>IF(Setup!B30&lt;&gt;"",L23-O23-Q23,"")</f>
        <v/>
      </c>
    </row>
    <row r="24" spans="1:18" ht="21.75" customHeight="1" x14ac:dyDescent="0.3">
      <c r="A24" s="1">
        <f>Setup!B31</f>
        <v>0</v>
      </c>
      <c r="B24" s="40" t="str">
        <f>IF(Setup!B31&lt;&gt;"",Setup!C31,"")</f>
        <v/>
      </c>
      <c r="C24" s="41" t="str">
        <f>IF(Setup!B31&lt;&gt;"",$B3,"")</f>
        <v/>
      </c>
      <c r="D24" s="42" t="str">
        <f>IF(Setup!B31&lt;&gt;"",Attendance_Jun!U38,"")</f>
        <v/>
      </c>
      <c r="E24" s="41" t="str">
        <f>IF(Setup!B31&lt;&gt;"",Attendance_Jun!U39,"")</f>
        <v/>
      </c>
      <c r="F24" s="43" t="str">
        <f>IFERROR(IF(Setup!B31&lt;&gt;"",B24/C24,""),"")</f>
        <v/>
      </c>
      <c r="G24" s="42" t="str">
        <f>IF(Setup!B31&lt;&gt;"",MIN(D24,C24),"")</f>
        <v/>
      </c>
      <c r="H24" s="42" t="str">
        <f>IF(Setup!B31&lt;&gt;"",MAX(D24-C24,0),"")</f>
        <v/>
      </c>
      <c r="I24" s="16" t="str">
        <f>IF(Setup!B31&lt;&gt;"",F24*G24,"")</f>
        <v/>
      </c>
      <c r="J24" s="16" t="str">
        <f>IF(Setup!B31&lt;&gt;"",F24*H24*$B4,"")</f>
        <v/>
      </c>
      <c r="K24" s="16" t="str">
        <f>IF(Setup!B31&lt;&gt;"",IF(E24=0,$B5,0),"")</f>
        <v/>
      </c>
      <c r="L24" s="44" t="str">
        <f>IF(Setup!B31&lt;&gt;"",I24+J24+K24,"")</f>
        <v/>
      </c>
      <c r="M24" s="16" t="str">
        <f>IF(Setup!B31&lt;&gt;"",Payroll_May!P24,"")</f>
        <v/>
      </c>
      <c r="N24" s="46">
        <v>0</v>
      </c>
      <c r="O24" s="46">
        <v>0</v>
      </c>
      <c r="P24" s="44" t="str">
        <f>IF(Setup!B31&lt;&gt;"",M24+N24-O24,"")</f>
        <v/>
      </c>
      <c r="Q24" s="46">
        <v>0</v>
      </c>
      <c r="R24" s="47" t="str">
        <f>IF(Setup!B31&lt;&gt;"",L24-O24-Q24,"")</f>
        <v/>
      </c>
    </row>
    <row r="25" spans="1:18" ht="21.75" customHeight="1" x14ac:dyDescent="0.3">
      <c r="A25" s="18">
        <f>Setup!B32</f>
        <v>0</v>
      </c>
      <c r="B25" s="48" t="str">
        <f>IF(Setup!B32&lt;&gt;"",Setup!C32,"")</f>
        <v/>
      </c>
      <c r="C25" s="49" t="str">
        <f>IF(Setup!B32&lt;&gt;"",$B3,"")</f>
        <v/>
      </c>
      <c r="D25" s="50" t="str">
        <f>IF(Setup!B32&lt;&gt;"",Attendance_Jun!V38,"")</f>
        <v/>
      </c>
      <c r="E25" s="49" t="str">
        <f>IF(Setup!B32&lt;&gt;"",Attendance_Jun!V39,"")</f>
        <v/>
      </c>
      <c r="F25" s="51" t="str">
        <f>IFERROR(IF(Setup!B32&lt;&gt;"",B25/C25,""),"")</f>
        <v/>
      </c>
      <c r="G25" s="50" t="str">
        <f>IF(Setup!B32&lt;&gt;"",MIN(D25,C25),"")</f>
        <v/>
      </c>
      <c r="H25" s="50" t="str">
        <f>IF(Setup!B32&lt;&gt;"",MAX(D25-C25,0),"")</f>
        <v/>
      </c>
      <c r="I25" s="19" t="str">
        <f>IF(Setup!B32&lt;&gt;"",F25*G25,"")</f>
        <v/>
      </c>
      <c r="J25" s="19" t="str">
        <f>IF(Setup!B32&lt;&gt;"",F25*H25*$B4,"")</f>
        <v/>
      </c>
      <c r="K25" s="19" t="str">
        <f>IF(Setup!B32&lt;&gt;"",IF(E25=0,$B5,0),"")</f>
        <v/>
      </c>
      <c r="L25" s="52" t="str">
        <f>IF(Setup!B32&lt;&gt;"",I25+J25+K25,"")</f>
        <v/>
      </c>
      <c r="M25" s="19" t="str">
        <f>IF(Setup!B32&lt;&gt;"",Payroll_May!P25,"")</f>
        <v/>
      </c>
      <c r="N25" s="46">
        <v>0</v>
      </c>
      <c r="O25" s="46">
        <v>0</v>
      </c>
      <c r="P25" s="52" t="str">
        <f>IF(Setup!B32&lt;&gt;"",M25+N25-O25,"")</f>
        <v/>
      </c>
      <c r="Q25" s="46">
        <v>0</v>
      </c>
      <c r="R25" s="47" t="str">
        <f>IF(Setup!B32&lt;&gt;"",L25-O25-Q25,"")</f>
        <v/>
      </c>
    </row>
    <row r="26" spans="1:18" ht="21.75" customHeight="1" x14ac:dyDescent="0.3">
      <c r="A26" s="1">
        <f>Setup!B33</f>
        <v>0</v>
      </c>
      <c r="B26" s="40" t="str">
        <f>IF(Setup!B33&lt;&gt;"",Setup!C33,"")</f>
        <v/>
      </c>
      <c r="C26" s="41" t="str">
        <f>IF(Setup!B33&lt;&gt;"",$B3,"")</f>
        <v/>
      </c>
      <c r="D26" s="42" t="str">
        <f>IF(Setup!B33&lt;&gt;"",Attendance_Jun!W38,"")</f>
        <v/>
      </c>
      <c r="E26" s="41" t="str">
        <f>IF(Setup!B33&lt;&gt;"",Attendance_Jun!W39,"")</f>
        <v/>
      </c>
      <c r="F26" s="43" t="str">
        <f>IFERROR(IF(Setup!B33&lt;&gt;"",B26/C26,""),"")</f>
        <v/>
      </c>
      <c r="G26" s="42" t="str">
        <f>IF(Setup!B33&lt;&gt;"",MIN(D26,C26),"")</f>
        <v/>
      </c>
      <c r="H26" s="42" t="str">
        <f>IF(Setup!B33&lt;&gt;"",MAX(D26-C26,0),"")</f>
        <v/>
      </c>
      <c r="I26" s="16" t="str">
        <f>IF(Setup!B33&lt;&gt;"",F26*G26,"")</f>
        <v/>
      </c>
      <c r="J26" s="16" t="str">
        <f>IF(Setup!B33&lt;&gt;"",F26*H26*$B4,"")</f>
        <v/>
      </c>
      <c r="K26" s="16" t="str">
        <f>IF(Setup!B33&lt;&gt;"",IF(E26=0,$B5,0),"")</f>
        <v/>
      </c>
      <c r="L26" s="44" t="str">
        <f>IF(Setup!B33&lt;&gt;"",I26+J26+K26,"")</f>
        <v/>
      </c>
      <c r="M26" s="16" t="str">
        <f>IF(Setup!B33&lt;&gt;"",Payroll_May!P26,"")</f>
        <v/>
      </c>
      <c r="N26" s="46">
        <v>0</v>
      </c>
      <c r="O26" s="46">
        <v>0</v>
      </c>
      <c r="P26" s="44" t="str">
        <f>IF(Setup!B33&lt;&gt;"",M26+N26-O26,"")</f>
        <v/>
      </c>
      <c r="Q26" s="46">
        <v>0</v>
      </c>
      <c r="R26" s="47" t="str">
        <f>IF(Setup!B33&lt;&gt;"",L26-O26-Q26,"")</f>
        <v/>
      </c>
    </row>
    <row r="27" spans="1:18" ht="21.75" customHeight="1" x14ac:dyDescent="0.3">
      <c r="A27" s="18">
        <f>Setup!B34</f>
        <v>0</v>
      </c>
      <c r="B27" s="48" t="str">
        <f>IF(Setup!B34&lt;&gt;"",Setup!C34,"")</f>
        <v/>
      </c>
      <c r="C27" s="49" t="str">
        <f>IF(Setup!B34&lt;&gt;"",$B3,"")</f>
        <v/>
      </c>
      <c r="D27" s="50" t="str">
        <f>IF(Setup!B34&lt;&gt;"",Attendance_Jun!X38,"")</f>
        <v/>
      </c>
      <c r="E27" s="49" t="str">
        <f>IF(Setup!B34&lt;&gt;"",Attendance_Jun!X39,"")</f>
        <v/>
      </c>
      <c r="F27" s="51" t="str">
        <f>IFERROR(IF(Setup!B34&lt;&gt;"",B27/C27,""),"")</f>
        <v/>
      </c>
      <c r="G27" s="50" t="str">
        <f>IF(Setup!B34&lt;&gt;"",MIN(D27,C27),"")</f>
        <v/>
      </c>
      <c r="H27" s="50" t="str">
        <f>IF(Setup!B34&lt;&gt;"",MAX(D27-C27,0),"")</f>
        <v/>
      </c>
      <c r="I27" s="19" t="str">
        <f>IF(Setup!B34&lt;&gt;"",F27*G27,"")</f>
        <v/>
      </c>
      <c r="J27" s="19" t="str">
        <f>IF(Setup!B34&lt;&gt;"",F27*H27*$B4,"")</f>
        <v/>
      </c>
      <c r="K27" s="19" t="str">
        <f>IF(Setup!B34&lt;&gt;"",IF(E27=0,$B5,0),"")</f>
        <v/>
      </c>
      <c r="L27" s="52" t="str">
        <f>IF(Setup!B34&lt;&gt;"",I27+J27+K27,"")</f>
        <v/>
      </c>
      <c r="M27" s="19" t="str">
        <f>IF(Setup!B34&lt;&gt;"",Payroll_May!P27,"")</f>
        <v/>
      </c>
      <c r="N27" s="46">
        <v>0</v>
      </c>
      <c r="O27" s="46">
        <v>0</v>
      </c>
      <c r="P27" s="52" t="str">
        <f>IF(Setup!B34&lt;&gt;"",M27+N27-O27,"")</f>
        <v/>
      </c>
      <c r="Q27" s="46">
        <v>0</v>
      </c>
      <c r="R27" s="47" t="str">
        <f>IF(Setup!B34&lt;&gt;"",L27-O27-Q27,"")</f>
        <v/>
      </c>
    </row>
    <row r="28" spans="1:18" ht="21.75" customHeight="1" x14ac:dyDescent="0.3">
      <c r="A28" s="1">
        <f>Setup!B35</f>
        <v>0</v>
      </c>
      <c r="B28" s="40" t="str">
        <f>IF(Setup!B35&lt;&gt;"",Setup!C35,"")</f>
        <v/>
      </c>
      <c r="C28" s="41" t="str">
        <f>IF(Setup!B35&lt;&gt;"",$B3,"")</f>
        <v/>
      </c>
      <c r="D28" s="42" t="str">
        <f>IF(Setup!B35&lt;&gt;"",Attendance_Jun!Y38,"")</f>
        <v/>
      </c>
      <c r="E28" s="41" t="str">
        <f>IF(Setup!B35&lt;&gt;"",Attendance_Jun!Y39,"")</f>
        <v/>
      </c>
      <c r="F28" s="43" t="str">
        <f>IFERROR(IF(Setup!B35&lt;&gt;"",B28/C28,""),"")</f>
        <v/>
      </c>
      <c r="G28" s="42" t="str">
        <f>IF(Setup!B35&lt;&gt;"",MIN(D28,C28),"")</f>
        <v/>
      </c>
      <c r="H28" s="42" t="str">
        <f>IF(Setup!B35&lt;&gt;"",MAX(D28-C28,0),"")</f>
        <v/>
      </c>
      <c r="I28" s="16" t="str">
        <f>IF(Setup!B35&lt;&gt;"",F28*G28,"")</f>
        <v/>
      </c>
      <c r="J28" s="16" t="str">
        <f>IF(Setup!B35&lt;&gt;"",F28*H28*$B4,"")</f>
        <v/>
      </c>
      <c r="K28" s="16" t="str">
        <f>IF(Setup!B35&lt;&gt;"",IF(E28=0,$B5,0),"")</f>
        <v/>
      </c>
      <c r="L28" s="44" t="str">
        <f>IF(Setup!B35&lt;&gt;"",I28+J28+K28,"")</f>
        <v/>
      </c>
      <c r="M28" s="16" t="str">
        <f>IF(Setup!B35&lt;&gt;"",Payroll_May!P28,"")</f>
        <v/>
      </c>
      <c r="N28" s="46">
        <v>0</v>
      </c>
      <c r="O28" s="46">
        <v>0</v>
      </c>
      <c r="P28" s="44" t="str">
        <f>IF(Setup!B35&lt;&gt;"",M28+N28-O28,"")</f>
        <v/>
      </c>
      <c r="Q28" s="46">
        <v>0</v>
      </c>
      <c r="R28" s="47" t="str">
        <f>IF(Setup!B35&lt;&gt;"",L28-O28-Q28,"")</f>
        <v/>
      </c>
    </row>
    <row r="29" spans="1:18" ht="21.75" customHeight="1" x14ac:dyDescent="0.3">
      <c r="A29" s="18">
        <f>Setup!B36</f>
        <v>0</v>
      </c>
      <c r="B29" s="48" t="str">
        <f>IF(Setup!B36&lt;&gt;"",Setup!C36,"")</f>
        <v/>
      </c>
      <c r="C29" s="49" t="str">
        <f>IF(Setup!B36&lt;&gt;"",$B3,"")</f>
        <v/>
      </c>
      <c r="D29" s="50" t="str">
        <f>IF(Setup!B36&lt;&gt;"",Attendance_Jun!Z38,"")</f>
        <v/>
      </c>
      <c r="E29" s="49" t="str">
        <f>IF(Setup!B36&lt;&gt;"",Attendance_Jun!Z39,"")</f>
        <v/>
      </c>
      <c r="F29" s="51" t="str">
        <f>IFERROR(IF(Setup!B36&lt;&gt;"",B29/C29,""),"")</f>
        <v/>
      </c>
      <c r="G29" s="50" t="str">
        <f>IF(Setup!B36&lt;&gt;"",MIN(D29,C29),"")</f>
        <v/>
      </c>
      <c r="H29" s="50" t="str">
        <f>IF(Setup!B36&lt;&gt;"",MAX(D29-C29,0),"")</f>
        <v/>
      </c>
      <c r="I29" s="19" t="str">
        <f>IF(Setup!B36&lt;&gt;"",F29*G29,"")</f>
        <v/>
      </c>
      <c r="J29" s="19" t="str">
        <f>IF(Setup!B36&lt;&gt;"",F29*H29*$B4,"")</f>
        <v/>
      </c>
      <c r="K29" s="19" t="str">
        <f>IF(Setup!B36&lt;&gt;"",IF(E29=0,$B5,0),"")</f>
        <v/>
      </c>
      <c r="L29" s="52" t="str">
        <f>IF(Setup!B36&lt;&gt;"",I29+J29+K29,"")</f>
        <v/>
      </c>
      <c r="M29" s="19" t="str">
        <f>IF(Setup!B36&lt;&gt;"",Payroll_May!P29,"")</f>
        <v/>
      </c>
      <c r="N29" s="46">
        <v>0</v>
      </c>
      <c r="O29" s="46">
        <v>0</v>
      </c>
      <c r="P29" s="52" t="str">
        <f>IF(Setup!B36&lt;&gt;"",M29+N29-O29,"")</f>
        <v/>
      </c>
      <c r="Q29" s="46">
        <v>0</v>
      </c>
      <c r="R29" s="47" t="str">
        <f>IF(Setup!B36&lt;&gt;"",L29-O29-Q29,"")</f>
        <v/>
      </c>
    </row>
    <row r="30" spans="1:18" ht="21.75" customHeight="1" x14ac:dyDescent="0.3">
      <c r="A30" s="1">
        <f>Setup!B37</f>
        <v>0</v>
      </c>
      <c r="B30" s="40" t="str">
        <f>IF(Setup!B37&lt;&gt;"",Setup!C37,"")</f>
        <v/>
      </c>
      <c r="C30" s="41" t="str">
        <f>IF(Setup!B37&lt;&gt;"",$B3,"")</f>
        <v/>
      </c>
      <c r="D30" s="42" t="str">
        <f>IF(Setup!B37&lt;&gt;"",Attendance_Jun!AA38,"")</f>
        <v/>
      </c>
      <c r="E30" s="41" t="str">
        <f>IF(Setup!B37&lt;&gt;"",Attendance_Jun!AA39,"")</f>
        <v/>
      </c>
      <c r="F30" s="43" t="str">
        <f>IFERROR(IF(Setup!B37&lt;&gt;"",B30/C30,""),"")</f>
        <v/>
      </c>
      <c r="G30" s="42" t="str">
        <f>IF(Setup!B37&lt;&gt;"",MIN(D30,C30),"")</f>
        <v/>
      </c>
      <c r="H30" s="42" t="str">
        <f>IF(Setup!B37&lt;&gt;"",MAX(D30-C30,0),"")</f>
        <v/>
      </c>
      <c r="I30" s="16" t="str">
        <f>IF(Setup!B37&lt;&gt;"",F30*G30,"")</f>
        <v/>
      </c>
      <c r="J30" s="16" t="str">
        <f>IF(Setup!B37&lt;&gt;"",F30*H30*$B4,"")</f>
        <v/>
      </c>
      <c r="K30" s="16" t="str">
        <f>IF(Setup!B37&lt;&gt;"",IF(E30=0,$B5,0),"")</f>
        <v/>
      </c>
      <c r="L30" s="44" t="str">
        <f>IF(Setup!B37&lt;&gt;"",I30+J30+K30,"")</f>
        <v/>
      </c>
      <c r="M30" s="16" t="str">
        <f>IF(Setup!B37&lt;&gt;"",Payroll_May!P30,"")</f>
        <v/>
      </c>
      <c r="N30" s="46">
        <v>0</v>
      </c>
      <c r="O30" s="46">
        <v>0</v>
      </c>
      <c r="P30" s="44" t="str">
        <f>IF(Setup!B37&lt;&gt;"",M30+N30-O30,"")</f>
        <v/>
      </c>
      <c r="Q30" s="46">
        <v>0</v>
      </c>
      <c r="R30" s="47" t="str">
        <f>IF(Setup!B37&lt;&gt;"",L30-O30-Q30,"")</f>
        <v/>
      </c>
    </row>
    <row r="31" spans="1:18" ht="21.75" customHeight="1" x14ac:dyDescent="0.3">
      <c r="A31" s="18">
        <f>Setup!B38</f>
        <v>0</v>
      </c>
      <c r="B31" s="48" t="str">
        <f>IF(Setup!B38&lt;&gt;"",Setup!C38,"")</f>
        <v/>
      </c>
      <c r="C31" s="49" t="str">
        <f>IF(Setup!B38&lt;&gt;"",$B3,"")</f>
        <v/>
      </c>
      <c r="D31" s="50" t="str">
        <f>IF(Setup!B38&lt;&gt;"",Attendance_Jun!AB38,"")</f>
        <v/>
      </c>
      <c r="E31" s="49" t="str">
        <f>IF(Setup!B38&lt;&gt;"",Attendance_Jun!AB39,"")</f>
        <v/>
      </c>
      <c r="F31" s="51" t="str">
        <f>IFERROR(IF(Setup!B38&lt;&gt;"",B31/C31,""),"")</f>
        <v/>
      </c>
      <c r="G31" s="50" t="str">
        <f>IF(Setup!B38&lt;&gt;"",MIN(D31,C31),"")</f>
        <v/>
      </c>
      <c r="H31" s="50" t="str">
        <f>IF(Setup!B38&lt;&gt;"",MAX(D31-C31,0),"")</f>
        <v/>
      </c>
      <c r="I31" s="19" t="str">
        <f>IF(Setup!B38&lt;&gt;"",F31*G31,"")</f>
        <v/>
      </c>
      <c r="J31" s="19" t="str">
        <f>IF(Setup!B38&lt;&gt;"",F31*H31*$B4,"")</f>
        <v/>
      </c>
      <c r="K31" s="19" t="str">
        <f>IF(Setup!B38&lt;&gt;"",IF(E31=0,$B5,0),"")</f>
        <v/>
      </c>
      <c r="L31" s="52" t="str">
        <f>IF(Setup!B38&lt;&gt;"",I31+J31+K31,"")</f>
        <v/>
      </c>
      <c r="M31" s="19" t="str">
        <f>IF(Setup!B38&lt;&gt;"",Payroll_May!P31,"")</f>
        <v/>
      </c>
      <c r="N31" s="46">
        <v>0</v>
      </c>
      <c r="O31" s="46">
        <v>0</v>
      </c>
      <c r="P31" s="52" t="str">
        <f>IF(Setup!B38&lt;&gt;"",M31+N31-O31,"")</f>
        <v/>
      </c>
      <c r="Q31" s="46">
        <v>0</v>
      </c>
      <c r="R31" s="47" t="str">
        <f>IF(Setup!B38&lt;&gt;"",L31-O31-Q31,"")</f>
        <v/>
      </c>
    </row>
    <row r="32" spans="1:18" ht="21.75" customHeight="1" x14ac:dyDescent="0.3">
      <c r="A32" s="1">
        <f>Setup!B39</f>
        <v>0</v>
      </c>
      <c r="B32" s="40" t="str">
        <f>IF(Setup!B39&lt;&gt;"",Setup!C39,"")</f>
        <v/>
      </c>
      <c r="C32" s="41" t="str">
        <f>IF(Setup!B39&lt;&gt;"",$B3,"")</f>
        <v/>
      </c>
      <c r="D32" s="42" t="str">
        <f>IF(Setup!B39&lt;&gt;"",Attendance_Jun!AC38,"")</f>
        <v/>
      </c>
      <c r="E32" s="41" t="str">
        <f>IF(Setup!B39&lt;&gt;"",Attendance_Jun!AC39,"")</f>
        <v/>
      </c>
      <c r="F32" s="43" t="str">
        <f>IFERROR(IF(Setup!B39&lt;&gt;"",B32/C32,""),"")</f>
        <v/>
      </c>
      <c r="G32" s="42" t="str">
        <f>IF(Setup!B39&lt;&gt;"",MIN(D32,C32),"")</f>
        <v/>
      </c>
      <c r="H32" s="42" t="str">
        <f>IF(Setup!B39&lt;&gt;"",MAX(D32-C32,0),"")</f>
        <v/>
      </c>
      <c r="I32" s="16" t="str">
        <f>IF(Setup!B39&lt;&gt;"",F32*G32,"")</f>
        <v/>
      </c>
      <c r="J32" s="16" t="str">
        <f>IF(Setup!B39&lt;&gt;"",F32*H32*$B4,"")</f>
        <v/>
      </c>
      <c r="K32" s="16" t="str">
        <f>IF(Setup!B39&lt;&gt;"",IF(E32=0,$B5,0),"")</f>
        <v/>
      </c>
      <c r="L32" s="44" t="str">
        <f>IF(Setup!B39&lt;&gt;"",I32+J32+K32,"")</f>
        <v/>
      </c>
      <c r="M32" s="16" t="str">
        <f>IF(Setup!B39&lt;&gt;"",Payroll_May!P32,"")</f>
        <v/>
      </c>
      <c r="N32" s="46">
        <v>0</v>
      </c>
      <c r="O32" s="46">
        <v>0</v>
      </c>
      <c r="P32" s="44" t="str">
        <f>IF(Setup!B39&lt;&gt;"",M32+N32-O32,"")</f>
        <v/>
      </c>
      <c r="Q32" s="46">
        <v>0</v>
      </c>
      <c r="R32" s="47" t="str">
        <f>IF(Setup!B39&lt;&gt;"",L32-O32-Q32,"")</f>
        <v/>
      </c>
    </row>
    <row r="33" spans="1:18" ht="21.75" customHeight="1" x14ac:dyDescent="0.3">
      <c r="A33" s="18">
        <f>Setup!B40</f>
        <v>0</v>
      </c>
      <c r="B33" s="48" t="str">
        <f>IF(Setup!B40&lt;&gt;"",Setup!C40,"")</f>
        <v/>
      </c>
      <c r="C33" s="49" t="str">
        <f>IF(Setup!B40&lt;&gt;"",$B3,"")</f>
        <v/>
      </c>
      <c r="D33" s="50" t="str">
        <f>IF(Setup!B40&lt;&gt;"",Attendance_Jun!AD38,"")</f>
        <v/>
      </c>
      <c r="E33" s="49" t="str">
        <f>IF(Setup!B40&lt;&gt;"",Attendance_Jun!AD39,"")</f>
        <v/>
      </c>
      <c r="F33" s="51" t="str">
        <f>IFERROR(IF(Setup!B40&lt;&gt;"",B33/C33,""),"")</f>
        <v/>
      </c>
      <c r="G33" s="50" t="str">
        <f>IF(Setup!B40&lt;&gt;"",MIN(D33,C33),"")</f>
        <v/>
      </c>
      <c r="H33" s="50" t="str">
        <f>IF(Setup!B40&lt;&gt;"",MAX(D33-C33,0),"")</f>
        <v/>
      </c>
      <c r="I33" s="19" t="str">
        <f>IF(Setup!B40&lt;&gt;"",F33*G33,"")</f>
        <v/>
      </c>
      <c r="J33" s="19" t="str">
        <f>IF(Setup!B40&lt;&gt;"",F33*H33*$B4,"")</f>
        <v/>
      </c>
      <c r="K33" s="19" t="str">
        <f>IF(Setup!B40&lt;&gt;"",IF(E33=0,$B5,0),"")</f>
        <v/>
      </c>
      <c r="L33" s="52" t="str">
        <f>IF(Setup!B40&lt;&gt;"",I33+J33+K33,"")</f>
        <v/>
      </c>
      <c r="M33" s="19" t="str">
        <f>IF(Setup!B40&lt;&gt;"",Payroll_May!P33,"")</f>
        <v/>
      </c>
      <c r="N33" s="46">
        <v>0</v>
      </c>
      <c r="O33" s="46">
        <v>0</v>
      </c>
      <c r="P33" s="52" t="str">
        <f>IF(Setup!B40&lt;&gt;"",M33+N33-O33,"")</f>
        <v/>
      </c>
      <c r="Q33" s="46">
        <v>0</v>
      </c>
      <c r="R33" s="47" t="str">
        <f>IF(Setup!B40&lt;&gt;"",L33-O33-Q33,"")</f>
        <v/>
      </c>
    </row>
    <row r="34" spans="1:18" ht="21.75" customHeight="1" x14ac:dyDescent="0.3">
      <c r="A34" s="1">
        <f>Setup!B41</f>
        <v>0</v>
      </c>
      <c r="B34" s="40" t="str">
        <f>IF(Setup!B41&lt;&gt;"",Setup!C41,"")</f>
        <v/>
      </c>
      <c r="C34" s="41" t="str">
        <f>IF(Setup!B41&lt;&gt;"",$B3,"")</f>
        <v/>
      </c>
      <c r="D34" s="42" t="str">
        <f>IF(Setup!B41&lt;&gt;"",Attendance_Jun!AE38,"")</f>
        <v/>
      </c>
      <c r="E34" s="41" t="str">
        <f>IF(Setup!B41&lt;&gt;"",Attendance_Jun!AE39,"")</f>
        <v/>
      </c>
      <c r="F34" s="43" t="str">
        <f>IFERROR(IF(Setup!B41&lt;&gt;"",B34/C34,""),"")</f>
        <v/>
      </c>
      <c r="G34" s="42" t="str">
        <f>IF(Setup!B41&lt;&gt;"",MIN(D34,C34),"")</f>
        <v/>
      </c>
      <c r="H34" s="42" t="str">
        <f>IF(Setup!B41&lt;&gt;"",MAX(D34-C34,0),"")</f>
        <v/>
      </c>
      <c r="I34" s="16" t="str">
        <f>IF(Setup!B41&lt;&gt;"",F34*G34,"")</f>
        <v/>
      </c>
      <c r="J34" s="16" t="str">
        <f>IF(Setup!B41&lt;&gt;"",F34*H34*$B4,"")</f>
        <v/>
      </c>
      <c r="K34" s="16" t="str">
        <f>IF(Setup!B41&lt;&gt;"",IF(E34=0,$B5,0),"")</f>
        <v/>
      </c>
      <c r="L34" s="44" t="str">
        <f>IF(Setup!B41&lt;&gt;"",I34+J34+K34,"")</f>
        <v/>
      </c>
      <c r="M34" s="16" t="str">
        <f>IF(Setup!B41&lt;&gt;"",Payroll_May!P34,"")</f>
        <v/>
      </c>
      <c r="N34" s="46">
        <v>0</v>
      </c>
      <c r="O34" s="46">
        <v>0</v>
      </c>
      <c r="P34" s="44" t="str">
        <f>IF(Setup!B41&lt;&gt;"",M34+N34-O34,"")</f>
        <v/>
      </c>
      <c r="Q34" s="46">
        <v>0</v>
      </c>
      <c r="R34" s="47" t="str">
        <f>IF(Setup!B41&lt;&gt;"",L34-O34-Q34,"")</f>
        <v/>
      </c>
    </row>
    <row r="35" spans="1:18" ht="21.75" customHeight="1" x14ac:dyDescent="0.3">
      <c r="A35" s="18">
        <f>Setup!B42</f>
        <v>0</v>
      </c>
      <c r="B35" s="48" t="str">
        <f>IF(Setup!B42&lt;&gt;"",Setup!C42,"")</f>
        <v/>
      </c>
      <c r="C35" s="49" t="str">
        <f>IF(Setup!B42&lt;&gt;"",$B3,"")</f>
        <v/>
      </c>
      <c r="D35" s="50" t="str">
        <f>IF(Setup!B42&lt;&gt;"",Attendance_Jun!AF38,"")</f>
        <v/>
      </c>
      <c r="E35" s="49" t="str">
        <f>IF(Setup!B42&lt;&gt;"",Attendance_Jun!AF39,"")</f>
        <v/>
      </c>
      <c r="F35" s="51" t="str">
        <f>IFERROR(IF(Setup!B42&lt;&gt;"",B35/C35,""),"")</f>
        <v/>
      </c>
      <c r="G35" s="50" t="str">
        <f>IF(Setup!B42&lt;&gt;"",MIN(D35,C35),"")</f>
        <v/>
      </c>
      <c r="H35" s="50" t="str">
        <f>IF(Setup!B42&lt;&gt;"",MAX(D35-C35,0),"")</f>
        <v/>
      </c>
      <c r="I35" s="19" t="str">
        <f>IF(Setup!B42&lt;&gt;"",F35*G35,"")</f>
        <v/>
      </c>
      <c r="J35" s="19" t="str">
        <f>IF(Setup!B42&lt;&gt;"",F35*H35*$B4,"")</f>
        <v/>
      </c>
      <c r="K35" s="19" t="str">
        <f>IF(Setup!B42&lt;&gt;"",IF(E35=0,$B5,0),"")</f>
        <v/>
      </c>
      <c r="L35" s="52" t="str">
        <f>IF(Setup!B42&lt;&gt;"",I35+J35+K35,"")</f>
        <v/>
      </c>
      <c r="M35" s="19" t="str">
        <f>IF(Setup!B42&lt;&gt;"",Payroll_May!P35,"")</f>
        <v/>
      </c>
      <c r="N35" s="46">
        <v>0</v>
      </c>
      <c r="O35" s="46">
        <v>0</v>
      </c>
      <c r="P35" s="52" t="str">
        <f>IF(Setup!B42&lt;&gt;"",M35+N35-O35,"")</f>
        <v/>
      </c>
      <c r="Q35" s="46">
        <v>0</v>
      </c>
      <c r="R35" s="47" t="str">
        <f>IF(Setup!B42&lt;&gt;"",L35-O35-Q35,"")</f>
        <v/>
      </c>
    </row>
    <row r="36" spans="1:18" ht="21.75" customHeight="1" x14ac:dyDescent="0.3">
      <c r="A36" s="1">
        <f>Setup!B43</f>
        <v>0</v>
      </c>
      <c r="B36" s="40" t="str">
        <f>IF(Setup!B43&lt;&gt;"",Setup!C43,"")</f>
        <v/>
      </c>
      <c r="C36" s="41" t="str">
        <f>IF(Setup!B43&lt;&gt;"",$B3,"")</f>
        <v/>
      </c>
      <c r="D36" s="42" t="str">
        <f>IF(Setup!B43&lt;&gt;"",Attendance_Jun!AG38,"")</f>
        <v/>
      </c>
      <c r="E36" s="41" t="str">
        <f>IF(Setup!B43&lt;&gt;"",Attendance_Jun!AG39,"")</f>
        <v/>
      </c>
      <c r="F36" s="43" t="str">
        <f>IFERROR(IF(Setup!B43&lt;&gt;"",B36/C36,""),"")</f>
        <v/>
      </c>
      <c r="G36" s="42" t="str">
        <f>IF(Setup!B43&lt;&gt;"",MIN(D36,C36),"")</f>
        <v/>
      </c>
      <c r="H36" s="42" t="str">
        <f>IF(Setup!B43&lt;&gt;"",MAX(D36-C36,0),"")</f>
        <v/>
      </c>
      <c r="I36" s="16" t="str">
        <f>IF(Setup!B43&lt;&gt;"",F36*G36,"")</f>
        <v/>
      </c>
      <c r="J36" s="16" t="str">
        <f>IF(Setup!B43&lt;&gt;"",F36*H36*$B4,"")</f>
        <v/>
      </c>
      <c r="K36" s="16" t="str">
        <f>IF(Setup!B43&lt;&gt;"",IF(E36=0,$B5,0),"")</f>
        <v/>
      </c>
      <c r="L36" s="44" t="str">
        <f>IF(Setup!B43&lt;&gt;"",I36+J36+K36,"")</f>
        <v/>
      </c>
      <c r="M36" s="16" t="str">
        <f>IF(Setup!B43&lt;&gt;"",Payroll_May!P36,"")</f>
        <v/>
      </c>
      <c r="N36" s="46">
        <v>0</v>
      </c>
      <c r="O36" s="46">
        <v>0</v>
      </c>
      <c r="P36" s="44" t="str">
        <f>IF(Setup!B43&lt;&gt;"",M36+N36-O36,"")</f>
        <v/>
      </c>
      <c r="Q36" s="46">
        <v>0</v>
      </c>
      <c r="R36" s="47" t="str">
        <f>IF(Setup!B43&lt;&gt;"",L36-O36-Q36,"")</f>
        <v/>
      </c>
    </row>
    <row r="37" spans="1:18" ht="21.75" customHeight="1" x14ac:dyDescent="0.3">
      <c r="A37" s="18">
        <f>Setup!B44</f>
        <v>0</v>
      </c>
      <c r="B37" s="48" t="str">
        <f>IF(Setup!B44&lt;&gt;"",Setup!C44,"")</f>
        <v/>
      </c>
      <c r="C37" s="49" t="str">
        <f>IF(Setup!B44&lt;&gt;"",$B3,"")</f>
        <v/>
      </c>
      <c r="D37" s="50" t="str">
        <f>IF(Setup!B44&lt;&gt;"",Attendance_Jun!AH38,"")</f>
        <v/>
      </c>
      <c r="E37" s="49" t="str">
        <f>IF(Setup!B44&lt;&gt;"",Attendance_Jun!AH39,"")</f>
        <v/>
      </c>
      <c r="F37" s="51" t="str">
        <f>IFERROR(IF(Setup!B44&lt;&gt;"",B37/C37,""),"")</f>
        <v/>
      </c>
      <c r="G37" s="50" t="str">
        <f>IF(Setup!B44&lt;&gt;"",MIN(D37,C37),"")</f>
        <v/>
      </c>
      <c r="H37" s="50" t="str">
        <f>IF(Setup!B44&lt;&gt;"",MAX(D37-C37,0),"")</f>
        <v/>
      </c>
      <c r="I37" s="19" t="str">
        <f>IF(Setup!B44&lt;&gt;"",F37*G37,"")</f>
        <v/>
      </c>
      <c r="J37" s="19" t="str">
        <f>IF(Setup!B44&lt;&gt;"",F37*H37*$B4,"")</f>
        <v/>
      </c>
      <c r="K37" s="19" t="str">
        <f>IF(Setup!B44&lt;&gt;"",IF(E37=0,$B5,0),"")</f>
        <v/>
      </c>
      <c r="L37" s="52" t="str">
        <f>IF(Setup!B44&lt;&gt;"",I37+J37+K37,"")</f>
        <v/>
      </c>
      <c r="M37" s="19" t="str">
        <f>IF(Setup!B44&lt;&gt;"",Payroll_May!P37,"")</f>
        <v/>
      </c>
      <c r="N37" s="46">
        <v>0</v>
      </c>
      <c r="O37" s="46">
        <v>0</v>
      </c>
      <c r="P37" s="52" t="str">
        <f>IF(Setup!B44&lt;&gt;"",M37+N37-O37,"")</f>
        <v/>
      </c>
      <c r="Q37" s="46">
        <v>0</v>
      </c>
      <c r="R37" s="47" t="str">
        <f>IF(Setup!B44&lt;&gt;"",L37-O37-Q37,"")</f>
        <v/>
      </c>
    </row>
    <row r="38" spans="1:18" ht="25.5" customHeight="1" x14ac:dyDescent="0.3">
      <c r="A38" s="55" t="s">
        <v>113</v>
      </c>
      <c r="B38" s="55"/>
      <c r="C38" s="17">
        <f>SUM(C8:C37)</f>
        <v>2912</v>
      </c>
      <c r="D38" s="36">
        <f>SUM(D8:D37)</f>
        <v>2430.46</v>
      </c>
      <c r="E38" s="17">
        <f>SUM(E8:E37)</f>
        <v>0</v>
      </c>
      <c r="F38" s="17"/>
      <c r="G38" s="36">
        <f t="shared" ref="G38:R38" si="0">SUM(G8:G37)</f>
        <v>2430.46</v>
      </c>
      <c r="H38" s="36">
        <f t="shared" si="0"/>
        <v>0</v>
      </c>
      <c r="I38" s="17">
        <f t="shared" si="0"/>
        <v>437979.75961538457</v>
      </c>
      <c r="J38" s="17">
        <f t="shared" si="0"/>
        <v>0</v>
      </c>
      <c r="K38" s="17">
        <f t="shared" si="0"/>
        <v>0</v>
      </c>
      <c r="L38" s="17">
        <f t="shared" si="0"/>
        <v>437979.75961538457</v>
      </c>
      <c r="M38" s="17">
        <f t="shared" si="0"/>
        <v>64119</v>
      </c>
      <c r="N38" s="17">
        <f t="shared" si="0"/>
        <v>118000</v>
      </c>
      <c r="O38" s="17">
        <f t="shared" si="0"/>
        <v>109119</v>
      </c>
      <c r="P38" s="17">
        <f t="shared" si="0"/>
        <v>73000</v>
      </c>
      <c r="Q38" s="17">
        <f t="shared" si="0"/>
        <v>20000</v>
      </c>
      <c r="R38" s="17">
        <f t="shared" si="0"/>
        <v>308860.75961538462</v>
      </c>
    </row>
    <row r="40" spans="1:18" ht="19.5" customHeight="1" x14ac:dyDescent="0.3">
      <c r="A40" s="56" t="s">
        <v>114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</sheetData>
  <mergeCells count="3">
    <mergeCell ref="A1:R1"/>
    <mergeCell ref="A38:B38"/>
    <mergeCell ref="A40:R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6600"/>
  </sheetPr>
  <dimension ref="A1:R40"/>
  <sheetViews>
    <sheetView showGridLines="0" topLeftCell="C1" zoomScale="85" zoomScaleNormal="85" workbookViewId="0">
      <pane ySplit="7" topLeftCell="A8" activePane="bottomLeft" state="frozen"/>
      <selection pane="bottomLeft" activeCell="P2" sqref="P2"/>
    </sheetView>
  </sheetViews>
  <sheetFormatPr defaultColWidth="8.5546875" defaultRowHeight="14.4" x14ac:dyDescent="0.3"/>
  <cols>
    <col min="1" max="1" width="22" customWidth="1"/>
    <col min="2" max="2" width="15" customWidth="1"/>
    <col min="3" max="4" width="11" customWidth="1"/>
    <col min="5" max="5" width="10" customWidth="1"/>
    <col min="6" max="7" width="12" customWidth="1"/>
    <col min="8" max="8" width="10" customWidth="1"/>
    <col min="9" max="9" width="14" customWidth="1"/>
    <col min="10" max="10" width="13" customWidth="1"/>
    <col min="11" max="11" width="16" customWidth="1"/>
    <col min="12" max="12" width="14" customWidth="1"/>
    <col min="13" max="16" width="12" customWidth="1"/>
    <col min="17" max="17" width="15" customWidth="1"/>
    <col min="18" max="18" width="14" customWidth="1"/>
  </cols>
  <sheetData>
    <row r="1" spans="1:18" ht="31.5" customHeight="1" x14ac:dyDescent="0.3">
      <c r="A1" s="54" t="s">
        <v>125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1" t="s">
        <v>93</v>
      </c>
      <c r="B2" s="10" t="s">
        <v>126</v>
      </c>
    </row>
    <row r="3" spans="1:18" ht="19.5" customHeight="1" x14ac:dyDescent="0.3">
      <c r="A3" s="1" t="s">
        <v>95</v>
      </c>
      <c r="B3" s="10">
        <v>216</v>
      </c>
    </row>
    <row r="4" spans="1:18" ht="19.5" customHeight="1" x14ac:dyDescent="0.3">
      <c r="A4" s="1" t="s">
        <v>14</v>
      </c>
      <c r="B4" s="38">
        <f>Setup!B9</f>
        <v>1.5</v>
      </c>
    </row>
    <row r="5" spans="1:18" ht="19.5" customHeight="1" x14ac:dyDescent="0.3">
      <c r="A5" s="1" t="s">
        <v>16</v>
      </c>
      <c r="B5" s="12">
        <f>Setup!B10</f>
        <v>0</v>
      </c>
    </row>
    <row r="7" spans="1:18" ht="36" customHeight="1" x14ac:dyDescent="0.3">
      <c r="A7" s="39" t="s">
        <v>37</v>
      </c>
      <c r="B7" s="39" t="s">
        <v>96</v>
      </c>
      <c r="C7" s="39" t="s">
        <v>97</v>
      </c>
      <c r="D7" s="39" t="s">
        <v>98</v>
      </c>
      <c r="E7" s="39" t="s">
        <v>99</v>
      </c>
      <c r="F7" s="39" t="s">
        <v>100</v>
      </c>
      <c r="G7" s="39" t="s">
        <v>101</v>
      </c>
      <c r="H7" s="39" t="s">
        <v>102</v>
      </c>
      <c r="I7" s="21" t="s">
        <v>103</v>
      </c>
      <c r="J7" s="21" t="s">
        <v>104</v>
      </c>
      <c r="K7" s="21" t="s">
        <v>105</v>
      </c>
      <c r="L7" s="21" t="s">
        <v>106</v>
      </c>
      <c r="M7" s="21" t="s">
        <v>107</v>
      </c>
      <c r="N7" s="21" t="s">
        <v>108</v>
      </c>
      <c r="O7" s="21" t="s">
        <v>109</v>
      </c>
      <c r="P7" s="21" t="s">
        <v>110</v>
      </c>
      <c r="Q7" s="21" t="s">
        <v>111</v>
      </c>
      <c r="R7" s="21" t="s">
        <v>112</v>
      </c>
    </row>
    <row r="8" spans="1:18" ht="21.75" customHeight="1" x14ac:dyDescent="0.3">
      <c r="A8" s="1" t="str">
        <f>Setup!B15</f>
        <v>Sheraz</v>
      </c>
      <c r="B8" s="40">
        <f>IF(Setup!B15&lt;&gt;"",Setup!C15,"")</f>
        <v>38000</v>
      </c>
      <c r="C8" s="41">
        <f>IF(Setup!B15&lt;&gt;"",$B3,"")</f>
        <v>216</v>
      </c>
      <c r="D8" s="42">
        <f>IF(Setup!B15&lt;&gt;"",Attendance_Jul!E39,"")</f>
        <v>227.05</v>
      </c>
      <c r="E8" s="41">
        <f>IF(Setup!B15&lt;&gt;"",Attendance_Jul!E40,"")</f>
        <v>0</v>
      </c>
      <c r="F8" s="43">
        <f>IFERROR(IF(Setup!B15&lt;&gt;"",B8/C8,""),"")</f>
        <v>175.92592592592592</v>
      </c>
      <c r="G8" s="42">
        <f>IF(Setup!B15&lt;&gt;"",MIN(D8,C8),"")</f>
        <v>216</v>
      </c>
      <c r="H8" s="42">
        <f>IF(Setup!B15&lt;&gt;"",MAX(D8-C8,0),"")</f>
        <v>11.050000000000011</v>
      </c>
      <c r="I8" s="16">
        <f>IF(Setup!B15&lt;&gt;"",F8*G8,"")</f>
        <v>38000</v>
      </c>
      <c r="J8" s="16">
        <f>IF(Setup!B15&lt;&gt;"",F8*H8*$B4,"")</f>
        <v>2915.9722222222254</v>
      </c>
      <c r="K8" s="16">
        <f>IF(Setup!B15&lt;&gt;"",IF(E8=0,$B5,0),"")</f>
        <v>0</v>
      </c>
      <c r="L8" s="44">
        <f>IF(Setup!B15&lt;&gt;"",I8+J8+K8,"")</f>
        <v>40915.972222222226</v>
      </c>
      <c r="M8" s="16">
        <f>IF(Setup!B15&lt;&gt;"",Payroll_Jun!P8,"")</f>
        <v>40000</v>
      </c>
      <c r="N8" s="46">
        <v>25000</v>
      </c>
      <c r="O8" s="46">
        <v>25000</v>
      </c>
      <c r="P8" s="44">
        <f>IF(Setup!B15&lt;&gt;"",M8+N8-O8,"")</f>
        <v>40000</v>
      </c>
      <c r="Q8" s="46">
        <v>0</v>
      </c>
      <c r="R8" s="47">
        <f>IF(Setup!B15&lt;&gt;"",L8-O8-Q8,"")</f>
        <v>15915.972222222226</v>
      </c>
    </row>
    <row r="9" spans="1:18" ht="21.75" customHeight="1" x14ac:dyDescent="0.3">
      <c r="A9" s="18" t="str">
        <f>Setup!B16</f>
        <v>Zain</v>
      </c>
      <c r="B9" s="48">
        <f>IF(Setup!B16&lt;&gt;"",Setup!C16,"")</f>
        <v>53000</v>
      </c>
      <c r="C9" s="49">
        <f>IF(Setup!B16&lt;&gt;"",$B3,"")</f>
        <v>216</v>
      </c>
      <c r="D9" s="50">
        <f>IF(Setup!B16&lt;&gt;"",Attendance_Jul!F39,"")</f>
        <v>225</v>
      </c>
      <c r="E9" s="49">
        <f>IF(Setup!B16&lt;&gt;"",Attendance_Jul!F40,"")</f>
        <v>0</v>
      </c>
      <c r="F9" s="51">
        <f>IFERROR(IF(Setup!B16&lt;&gt;"",B9/C9,""),"")</f>
        <v>245.37037037037038</v>
      </c>
      <c r="G9" s="50">
        <f>IF(Setup!B16&lt;&gt;"",MIN(D9,C9),"")</f>
        <v>216</v>
      </c>
      <c r="H9" s="50">
        <f>IF(Setup!B16&lt;&gt;"",MAX(D9-C9,0),"")</f>
        <v>9</v>
      </c>
      <c r="I9" s="19">
        <f>IF(Setup!B16&lt;&gt;"",F9*G9,"")</f>
        <v>53000</v>
      </c>
      <c r="J9" s="19">
        <f>IF(Setup!B16&lt;&gt;"",F9*H9*$B4,"")</f>
        <v>3312.5</v>
      </c>
      <c r="K9" s="19">
        <f>IF(Setup!B16&lt;&gt;"",IF(E9=0,$B5,0),"")</f>
        <v>0</v>
      </c>
      <c r="L9" s="52">
        <f>IF(Setup!B16&lt;&gt;"",I9+J9+K9,"")</f>
        <v>56312.5</v>
      </c>
      <c r="M9" s="19">
        <f>IF(Setup!B16&lt;&gt;"",Payroll_Jun!P9,"")</f>
        <v>0</v>
      </c>
      <c r="N9" s="46">
        <v>41000</v>
      </c>
      <c r="O9" s="46">
        <v>41000</v>
      </c>
      <c r="P9" s="52">
        <f>IF(Setup!B16&lt;&gt;"",M9+N9-O9,"")</f>
        <v>0</v>
      </c>
      <c r="Q9" s="46">
        <v>0</v>
      </c>
      <c r="R9" s="47">
        <f>IF(Setup!B16&lt;&gt;"",L9-O9-Q9,"")</f>
        <v>15312.5</v>
      </c>
    </row>
    <row r="10" spans="1:18" ht="21.75" customHeight="1" x14ac:dyDescent="0.3">
      <c r="A10" s="1" t="str">
        <f>Setup!B17</f>
        <v>Yousaf</v>
      </c>
      <c r="B10" s="40">
        <f>IF(Setup!B17&lt;&gt;"",Setup!C17,"")</f>
        <v>28000</v>
      </c>
      <c r="C10" s="41">
        <f>IF(Setup!B17&lt;&gt;"",$B3,"")</f>
        <v>216</v>
      </c>
      <c r="D10" s="42">
        <f>IF(Setup!B17&lt;&gt;"",Attendance_Jul!G39,"")</f>
        <v>126</v>
      </c>
      <c r="E10" s="41">
        <f>IF(Setup!B17&lt;&gt;"",Attendance_Jul!G40,"")</f>
        <v>0</v>
      </c>
      <c r="F10" s="43">
        <f>IFERROR(IF(Setup!B17&lt;&gt;"",B10/C10,""),"")</f>
        <v>129.62962962962962</v>
      </c>
      <c r="G10" s="42">
        <f>IF(Setup!B17&lt;&gt;"",MIN(D10,C10),"")</f>
        <v>126</v>
      </c>
      <c r="H10" s="42">
        <f>IF(Setup!B17&lt;&gt;"",MAX(D10-C10,0),"")</f>
        <v>0</v>
      </c>
      <c r="I10" s="16">
        <f>IF(Setup!B17&lt;&gt;"",F10*G10,"")</f>
        <v>16333.333333333332</v>
      </c>
      <c r="J10" s="16">
        <f>IF(Setup!B17&lt;&gt;"",F10*H10*$B4,"")</f>
        <v>0</v>
      </c>
      <c r="K10" s="16">
        <f>IF(Setup!B17&lt;&gt;"",IF(E10=0,$B5,0),"")</f>
        <v>0</v>
      </c>
      <c r="L10" s="44">
        <f>IF(Setup!B17&lt;&gt;"",I10+J10+K10,"")</f>
        <v>16333.333333333332</v>
      </c>
      <c r="M10" s="16">
        <f>IF(Setup!B17&lt;&gt;"",Payroll_Jun!P10,"")</f>
        <v>0</v>
      </c>
      <c r="N10" s="46">
        <v>7000</v>
      </c>
      <c r="O10" s="46">
        <v>7000</v>
      </c>
      <c r="P10" s="44">
        <f>IF(Setup!B17&lt;&gt;"",M10+N10-O10,"")</f>
        <v>0</v>
      </c>
      <c r="Q10" s="46">
        <v>0</v>
      </c>
      <c r="R10" s="47">
        <f>IF(Setup!B17&lt;&gt;"",L10-O10-Q10,"")</f>
        <v>9333.3333333333321</v>
      </c>
    </row>
    <row r="11" spans="1:18" ht="21.75" customHeight="1" x14ac:dyDescent="0.3">
      <c r="A11" s="18" t="str">
        <f>Setup!B18</f>
        <v>Hamza</v>
      </c>
      <c r="B11" s="48">
        <f>IF(Setup!B18&lt;&gt;"",Setup!C18,"")</f>
        <v>25000</v>
      </c>
      <c r="C11" s="49">
        <f>IF(Setup!B18&lt;&gt;"",$B3,"")</f>
        <v>216</v>
      </c>
      <c r="D11" s="50">
        <f>IF(Setup!B18&lt;&gt;"",Attendance_Jul!H39,"")</f>
        <v>190.60000000000002</v>
      </c>
      <c r="E11" s="49">
        <f>IF(Setup!B18&lt;&gt;"",Attendance_Jul!H40,"")</f>
        <v>0</v>
      </c>
      <c r="F11" s="51">
        <f>IFERROR(IF(Setup!B18&lt;&gt;"",B11/C11,""),"")</f>
        <v>115.74074074074075</v>
      </c>
      <c r="G11" s="50">
        <f>IF(Setup!B18&lt;&gt;"",MIN(D11,C11),"")</f>
        <v>190.60000000000002</v>
      </c>
      <c r="H11" s="50">
        <f>IF(Setup!B18&lt;&gt;"",MAX(D11-C11,0),"")</f>
        <v>0</v>
      </c>
      <c r="I11" s="19">
        <f>IF(Setup!B18&lt;&gt;"",F11*G11,"")</f>
        <v>22060.18518518519</v>
      </c>
      <c r="J11" s="19">
        <f>IF(Setup!B18&lt;&gt;"",F11*H11*$B4,"")</f>
        <v>0</v>
      </c>
      <c r="K11" s="19">
        <f>IF(Setup!B18&lt;&gt;"",IF(E11=0,$B5,0),"")</f>
        <v>0</v>
      </c>
      <c r="L11" s="52">
        <f>IF(Setup!B18&lt;&gt;"",I11+J11+K11,"")</f>
        <v>22060.18518518519</v>
      </c>
      <c r="M11" s="19">
        <f>IF(Setup!B18&lt;&gt;"",Payroll_Jun!P11,"")</f>
        <v>13000</v>
      </c>
      <c r="N11" s="46">
        <v>27000</v>
      </c>
      <c r="O11" s="46">
        <v>22000</v>
      </c>
      <c r="P11" s="52">
        <f>IF(Setup!B18&lt;&gt;"",M11+N11-O11,"")</f>
        <v>18000</v>
      </c>
      <c r="Q11" s="46">
        <v>0</v>
      </c>
      <c r="R11" s="47">
        <f>IF(Setup!B18&lt;&gt;"",L11-O11-Q11,"")</f>
        <v>60.185185185189766</v>
      </c>
    </row>
    <row r="12" spans="1:18" ht="21.75" customHeight="1" x14ac:dyDescent="0.3">
      <c r="A12" s="1" t="str">
        <f>Setup!B19</f>
        <v>Amjad</v>
      </c>
      <c r="B12" s="40">
        <f>IF(Setup!B19&lt;&gt;"",Setup!C19,"")</f>
        <v>25000</v>
      </c>
      <c r="C12" s="41">
        <f>IF(Setup!B19&lt;&gt;"",$B3,"")</f>
        <v>216</v>
      </c>
      <c r="D12" s="42">
        <f>IF(Setup!B19&lt;&gt;"",Attendance_Jul!I39,"")</f>
        <v>187.9</v>
      </c>
      <c r="E12" s="41">
        <f>IF(Setup!B19&lt;&gt;"",Attendance_Jul!I40,"")</f>
        <v>0</v>
      </c>
      <c r="F12" s="43">
        <f>IFERROR(IF(Setup!B19&lt;&gt;"",B12/C12,""),"")</f>
        <v>115.74074074074075</v>
      </c>
      <c r="G12" s="42">
        <f>IF(Setup!B19&lt;&gt;"",MIN(D12,C12),"")</f>
        <v>187.9</v>
      </c>
      <c r="H12" s="42">
        <f>IF(Setup!B19&lt;&gt;"",MAX(D12-C12,0),"")</f>
        <v>0</v>
      </c>
      <c r="I12" s="16">
        <f>IF(Setup!B19&lt;&gt;"",F12*G12,"")</f>
        <v>21747.685185185186</v>
      </c>
      <c r="J12" s="16">
        <f>IF(Setup!B19&lt;&gt;"",F12*H12*$B4,"")</f>
        <v>0</v>
      </c>
      <c r="K12" s="16">
        <f>IF(Setup!B19&lt;&gt;"",IF(E12=0,$B5,0),"")</f>
        <v>0</v>
      </c>
      <c r="L12" s="44">
        <f>IF(Setup!B19&lt;&gt;"",I12+J12+K12,"")</f>
        <v>21747.685185185186</v>
      </c>
      <c r="M12" s="16">
        <f>IF(Setup!B19&lt;&gt;"",Payroll_Jun!P12,"")</f>
        <v>5000</v>
      </c>
      <c r="N12" s="46">
        <v>6000</v>
      </c>
      <c r="O12" s="46">
        <v>6000</v>
      </c>
      <c r="P12" s="44">
        <f>IF(Setup!B19&lt;&gt;"",M12+N12-O12,"")</f>
        <v>5000</v>
      </c>
      <c r="Q12" s="46">
        <v>0</v>
      </c>
      <c r="R12" s="47">
        <f>IF(Setup!B19&lt;&gt;"",L12-O12-Q12,"")</f>
        <v>15747.685185185186</v>
      </c>
    </row>
    <row r="13" spans="1:18" ht="21.75" customHeight="1" x14ac:dyDescent="0.3">
      <c r="A13" s="18" t="str">
        <f>Setup!B20</f>
        <v>Tanveer</v>
      </c>
      <c r="B13" s="48">
        <f>IF(Setup!B20&lt;&gt;"",Setup!C20,"")</f>
        <v>25000</v>
      </c>
      <c r="C13" s="49">
        <f>IF(Setup!B20&lt;&gt;"",$B3,"")</f>
        <v>216</v>
      </c>
      <c r="D13" s="50">
        <f>IF(Setup!B20&lt;&gt;"",Attendance_Jul!J39,"")</f>
        <v>216</v>
      </c>
      <c r="E13" s="49">
        <f>IF(Setup!B20&lt;&gt;"",Attendance_Jul!J40,"")</f>
        <v>0</v>
      </c>
      <c r="F13" s="51">
        <f>IFERROR(IF(Setup!B20&lt;&gt;"",B13/C13,""),"")</f>
        <v>115.74074074074075</v>
      </c>
      <c r="G13" s="50">
        <f>IF(Setup!B20&lt;&gt;"",MIN(D13,C13),"")</f>
        <v>216</v>
      </c>
      <c r="H13" s="50">
        <f>IF(Setup!B20&lt;&gt;"",MAX(D13-C13,0),"")</f>
        <v>0</v>
      </c>
      <c r="I13" s="19">
        <f>IF(Setup!B20&lt;&gt;"",F13*G13,"")</f>
        <v>25000</v>
      </c>
      <c r="J13" s="19">
        <f>IF(Setup!B20&lt;&gt;"",F13*H13*$B4,"")</f>
        <v>0</v>
      </c>
      <c r="K13" s="19">
        <f>IF(Setup!B20&lt;&gt;"",IF(E13=0,$B5,0),"")</f>
        <v>0</v>
      </c>
      <c r="L13" s="52">
        <f>IF(Setup!B20&lt;&gt;"",I13+J13+K13,"")</f>
        <v>25000</v>
      </c>
      <c r="M13" s="19">
        <f>IF(Setup!B20&lt;&gt;"",Payroll_Jun!P13,"")</f>
        <v>0</v>
      </c>
      <c r="N13" s="46">
        <v>20000</v>
      </c>
      <c r="O13" s="46">
        <v>10000</v>
      </c>
      <c r="P13" s="52">
        <f>IF(Setup!B20&lt;&gt;"",M13+N13-O13,"")</f>
        <v>10000</v>
      </c>
      <c r="Q13" s="46">
        <v>0</v>
      </c>
      <c r="R13" s="47">
        <f>IF(Setup!B20&lt;&gt;"",L13-O13-Q13,"")</f>
        <v>15000</v>
      </c>
    </row>
    <row r="14" spans="1:18" ht="21.75" customHeight="1" x14ac:dyDescent="0.3">
      <c r="A14" s="1" t="str">
        <f>Setup!B21</f>
        <v>Ali Zaman</v>
      </c>
      <c r="B14" s="40">
        <f>IF(Setup!B21&lt;&gt;"",Setup!C21,"")</f>
        <v>75000</v>
      </c>
      <c r="C14" s="41">
        <f>IF(Setup!B21&lt;&gt;"",$B3,"")</f>
        <v>216</v>
      </c>
      <c r="D14" s="42">
        <f>IF(Setup!B21&lt;&gt;"",Attendance_Jul!K39,"")</f>
        <v>216</v>
      </c>
      <c r="E14" s="41">
        <f>IF(Setup!B21&lt;&gt;"",Attendance_Jul!K40,"")</f>
        <v>0</v>
      </c>
      <c r="F14" s="43">
        <f>IFERROR(IF(Setup!B21&lt;&gt;"",B14/C14,""),"")</f>
        <v>347.22222222222223</v>
      </c>
      <c r="G14" s="42">
        <f>IF(Setup!B21&lt;&gt;"",MIN(D14,C14),"")</f>
        <v>216</v>
      </c>
      <c r="H14" s="42">
        <f>IF(Setup!B21&lt;&gt;"",MAX(D14-C14,0),"")</f>
        <v>0</v>
      </c>
      <c r="I14" s="16">
        <f>IF(Setup!B21&lt;&gt;"",F14*G14,"")</f>
        <v>75000</v>
      </c>
      <c r="J14" s="16">
        <f>IF(Setup!B21&lt;&gt;"",F14*H14*$B4,"")</f>
        <v>0</v>
      </c>
      <c r="K14" s="16">
        <f>IF(Setup!B21&lt;&gt;"",IF(E14=0,$B5,0),"")</f>
        <v>0</v>
      </c>
      <c r="L14" s="44">
        <f>IF(Setup!B21&lt;&gt;"",I14+J14+K14,"")</f>
        <v>75000</v>
      </c>
      <c r="M14" s="16">
        <f>IF(Setup!B21&lt;&gt;"",Payroll_Jun!P14,"")</f>
        <v>15000</v>
      </c>
      <c r="N14" s="46">
        <v>35000</v>
      </c>
      <c r="O14" s="46">
        <v>30000</v>
      </c>
      <c r="P14" s="44">
        <f>IF(Setup!B21&lt;&gt;"",M14+N14-O14,"")</f>
        <v>20000</v>
      </c>
      <c r="Q14" s="46">
        <v>0</v>
      </c>
      <c r="R14" s="47">
        <f>IF(Setup!B21&lt;&gt;"",L14-O14-Q14,"")</f>
        <v>45000</v>
      </c>
    </row>
    <row r="15" spans="1:18" ht="21.75" customHeight="1" x14ac:dyDescent="0.3">
      <c r="A15" s="18" t="str">
        <f>Setup!B22</f>
        <v>Awais Ali</v>
      </c>
      <c r="B15" s="48">
        <f>IF(Setup!B22&lt;&gt;"",Setup!C22,"")</f>
        <v>25000</v>
      </c>
      <c r="C15" s="49">
        <f>IF(Setup!B22&lt;&gt;"",$B3,"")</f>
        <v>216</v>
      </c>
      <c r="D15" s="50">
        <f>IF(Setup!B22&lt;&gt;"",Attendance_Jul!L39,"")</f>
        <v>0</v>
      </c>
      <c r="E15" s="49">
        <f>IF(Setup!B22&lt;&gt;"",Attendance_Jul!L40,"")</f>
        <v>0</v>
      </c>
      <c r="F15" s="51">
        <f>IFERROR(IF(Setup!B22&lt;&gt;"",B15/C15,""),"")</f>
        <v>115.74074074074075</v>
      </c>
      <c r="G15" s="50">
        <f>IF(Setup!B22&lt;&gt;"",MIN(D15,C15),"")</f>
        <v>0</v>
      </c>
      <c r="H15" s="50">
        <f>IF(Setup!B22&lt;&gt;"",MAX(D15-C15,0),"")</f>
        <v>0</v>
      </c>
      <c r="I15" s="19">
        <f>IF(Setup!B22&lt;&gt;"",F15*G15,"")</f>
        <v>0</v>
      </c>
      <c r="J15" s="19">
        <f>IF(Setup!B22&lt;&gt;"",F15*H15*$B4,"")</f>
        <v>0</v>
      </c>
      <c r="K15" s="19">
        <f>IF(Setup!B22&lt;&gt;"",IF(E15=0,$B5,0),"")</f>
        <v>0</v>
      </c>
      <c r="L15" s="52">
        <f>IF(Setup!B22&lt;&gt;"",I15+J15+K15,"")</f>
        <v>0</v>
      </c>
      <c r="M15" s="19">
        <f>IF(Setup!B22&lt;&gt;"",Payroll_Jun!P15,"")</f>
        <v>0</v>
      </c>
      <c r="N15" s="46">
        <v>0</v>
      </c>
      <c r="O15" s="46">
        <v>0</v>
      </c>
      <c r="P15" s="52">
        <f>IF(Setup!B22&lt;&gt;"",M15+N15-O15,"")</f>
        <v>0</v>
      </c>
      <c r="Q15" s="46">
        <v>0</v>
      </c>
      <c r="R15" s="47">
        <f>IF(Setup!B22&lt;&gt;"",L15-O15-Q15,"")</f>
        <v>0</v>
      </c>
    </row>
    <row r="16" spans="1:18" ht="21.75" customHeight="1" x14ac:dyDescent="0.3">
      <c r="A16" s="1" t="str">
        <f>Setup!B23</f>
        <v>Ishtiaq</v>
      </c>
      <c r="B16" s="40">
        <f>IF(Setup!B23&lt;&gt;"",Setup!C23,"")</f>
        <v>25000</v>
      </c>
      <c r="C16" s="41">
        <f>IF(Setup!B23&lt;&gt;"",$B3,"")</f>
        <v>216</v>
      </c>
      <c r="D16" s="42">
        <f>IF(Setup!B23&lt;&gt;"",Attendance_Jul!M39,"")</f>
        <v>0</v>
      </c>
      <c r="E16" s="41">
        <f>IF(Setup!B23&lt;&gt;"",Attendance_Jul!M40,"")</f>
        <v>0</v>
      </c>
      <c r="F16" s="43">
        <f>IFERROR(IF(Setup!B23&lt;&gt;"",B16/C16,""),"")</f>
        <v>115.74074074074075</v>
      </c>
      <c r="G16" s="42">
        <f>IF(Setup!B23&lt;&gt;"",MIN(D16,C16),"")</f>
        <v>0</v>
      </c>
      <c r="H16" s="42">
        <f>IF(Setup!B23&lt;&gt;"",MAX(D16-C16,0),"")</f>
        <v>0</v>
      </c>
      <c r="I16" s="16">
        <f>IF(Setup!B23&lt;&gt;"",F16*G16,"")</f>
        <v>0</v>
      </c>
      <c r="J16" s="16">
        <f>IF(Setup!B23&lt;&gt;"",F16*H16*$B4,"")</f>
        <v>0</v>
      </c>
      <c r="K16" s="16">
        <f>IF(Setup!B23&lt;&gt;"",IF(E16=0,$B5,0),"")</f>
        <v>0</v>
      </c>
      <c r="L16" s="44">
        <f>IF(Setup!B23&lt;&gt;"",I16+J16+K16,"")</f>
        <v>0</v>
      </c>
      <c r="M16" s="16">
        <f>IF(Setup!B23&lt;&gt;"",Payroll_Jun!P16,"")</f>
        <v>0</v>
      </c>
      <c r="N16" s="46">
        <v>0</v>
      </c>
      <c r="O16" s="46">
        <v>0</v>
      </c>
      <c r="P16" s="44">
        <f>IF(Setup!B23&lt;&gt;"",M16+N16-O16,"")</f>
        <v>0</v>
      </c>
      <c r="Q16" s="46">
        <v>0</v>
      </c>
      <c r="R16" s="47">
        <f>IF(Setup!B23&lt;&gt;"",L16-O16-Q16,"")</f>
        <v>0</v>
      </c>
    </row>
    <row r="17" spans="1:18" ht="21.75" customHeight="1" x14ac:dyDescent="0.3">
      <c r="A17" s="18" t="str">
        <f>Setup!B24</f>
        <v>Usama bhai</v>
      </c>
      <c r="B17" s="48">
        <f>IF(Setup!B24&lt;&gt;"",Setup!C24,"")</f>
        <v>50000</v>
      </c>
      <c r="C17" s="49">
        <f>IF(Setup!B24&lt;&gt;"",$B3,"")</f>
        <v>216</v>
      </c>
      <c r="D17" s="50">
        <f>IF(Setup!B24&lt;&gt;"",Attendance_Jul!N39,"")</f>
        <v>216</v>
      </c>
      <c r="E17" s="49">
        <f>IF(Setup!B24&lt;&gt;"",Attendance_Jul!N40,"")</f>
        <v>0</v>
      </c>
      <c r="F17" s="51">
        <f>IFERROR(IF(Setup!B24&lt;&gt;"",B17/C17,""),"")</f>
        <v>231.4814814814815</v>
      </c>
      <c r="G17" s="50">
        <f>IF(Setup!B24&lt;&gt;"",MIN(D17,C17),"")</f>
        <v>216</v>
      </c>
      <c r="H17" s="50">
        <f>IF(Setup!B24&lt;&gt;"",MAX(D17-C17,0),"")</f>
        <v>0</v>
      </c>
      <c r="I17" s="19">
        <f>IF(Setup!B24&lt;&gt;"",F17*G17,"")</f>
        <v>50000</v>
      </c>
      <c r="J17" s="19">
        <f>IF(Setup!B24&lt;&gt;"",F17*H17*$B4,"")</f>
        <v>0</v>
      </c>
      <c r="K17" s="19">
        <f>IF(Setup!B24&lt;&gt;"",IF(E17=0,$B5,0),"")</f>
        <v>0</v>
      </c>
      <c r="L17" s="52">
        <f>IF(Setup!B24&lt;&gt;"",I17+J17+K17,"")</f>
        <v>50000</v>
      </c>
      <c r="M17" s="19">
        <f>IF(Setup!B24&lt;&gt;"",Payroll_Jun!P17,"")</f>
        <v>0</v>
      </c>
      <c r="N17" s="46">
        <v>0</v>
      </c>
      <c r="O17" s="46">
        <v>0</v>
      </c>
      <c r="P17" s="52">
        <f>IF(Setup!B24&lt;&gt;"",M17+N17-O17,"")</f>
        <v>0</v>
      </c>
      <c r="Q17" s="46">
        <v>0</v>
      </c>
      <c r="R17" s="47">
        <f>IF(Setup!B24&lt;&gt;"",L17-O17-Q17,"")</f>
        <v>50000</v>
      </c>
    </row>
    <row r="18" spans="1:18" ht="21.75" customHeight="1" x14ac:dyDescent="0.3">
      <c r="A18" s="1" t="str">
        <f>Setup!B25</f>
        <v>Ahtisham</v>
      </c>
      <c r="B18" s="40">
        <f>IF(Setup!B25&lt;&gt;"",Setup!C25,"")</f>
        <v>10000</v>
      </c>
      <c r="C18" s="41">
        <f>IF(Setup!B25&lt;&gt;"",$B3,"")</f>
        <v>216</v>
      </c>
      <c r="D18" s="42">
        <f>IF(Setup!B25&lt;&gt;"",Attendance_Jul!O39,"")</f>
        <v>0</v>
      </c>
      <c r="E18" s="41">
        <f>IF(Setup!B25&lt;&gt;"",Attendance_Jul!O40,"")</f>
        <v>0</v>
      </c>
      <c r="F18" s="43">
        <f>IFERROR(IF(Setup!B25&lt;&gt;"",B18/C18,""),"")</f>
        <v>46.296296296296298</v>
      </c>
      <c r="G18" s="42">
        <f>IF(Setup!B25&lt;&gt;"",MIN(D18,C18),"")</f>
        <v>0</v>
      </c>
      <c r="H18" s="42">
        <f>IF(Setup!B25&lt;&gt;"",MAX(D18-C18,0),"")</f>
        <v>0</v>
      </c>
      <c r="I18" s="16">
        <f>IF(Setup!B25&lt;&gt;"",F18*G18,"")</f>
        <v>0</v>
      </c>
      <c r="J18" s="16">
        <f>IF(Setup!B25&lt;&gt;"",F18*H18*$B4,"")</f>
        <v>0</v>
      </c>
      <c r="K18" s="16">
        <f>IF(Setup!B25&lt;&gt;"",IF(E18=0,$B5,0),"")</f>
        <v>0</v>
      </c>
      <c r="L18" s="44">
        <f>IF(Setup!B25&lt;&gt;"",I18+J18+K18,"")</f>
        <v>0</v>
      </c>
      <c r="M18" s="16">
        <f>IF(Setup!B25&lt;&gt;"",Payroll_Jun!P18,"")</f>
        <v>0</v>
      </c>
      <c r="N18" s="46">
        <v>0</v>
      </c>
      <c r="O18" s="46">
        <v>0</v>
      </c>
      <c r="P18" s="44">
        <f>IF(Setup!B25&lt;&gt;"",M18+N18-O18,"")</f>
        <v>0</v>
      </c>
      <c r="Q18" s="46">
        <v>0</v>
      </c>
      <c r="R18" s="47">
        <f>IF(Setup!B25&lt;&gt;"",L18-O18-Q18,"")</f>
        <v>0</v>
      </c>
    </row>
    <row r="19" spans="1:18" ht="21.75" customHeight="1" x14ac:dyDescent="0.3">
      <c r="A19" s="18" t="str">
        <f>Setup!B26</f>
        <v>Factory rent</v>
      </c>
      <c r="B19" s="48">
        <f>IF(Setup!B26&lt;&gt;"",Setup!C26,"")</f>
        <v>77000</v>
      </c>
      <c r="C19" s="49">
        <f>IF(Setup!B26&lt;&gt;"",$B3,"")</f>
        <v>216</v>
      </c>
      <c r="D19" s="50">
        <f>IF(Setup!B26&lt;&gt;"",Attendance_Jul!P39,"")</f>
        <v>216</v>
      </c>
      <c r="E19" s="49">
        <f>IF(Setup!B26&lt;&gt;"",Attendance_Jul!P40,"")</f>
        <v>0</v>
      </c>
      <c r="F19" s="51">
        <f>IFERROR(IF(Setup!B26&lt;&gt;"",B19/C19,""),"")</f>
        <v>356.48148148148147</v>
      </c>
      <c r="G19" s="50">
        <f>IF(Setup!B26&lt;&gt;"",MIN(D19,C19),"")</f>
        <v>216</v>
      </c>
      <c r="H19" s="50">
        <f>IF(Setup!B26&lt;&gt;"",MAX(D19-C19,0),"")</f>
        <v>0</v>
      </c>
      <c r="I19" s="19">
        <f>IF(Setup!B26&lt;&gt;"",F19*G19,"")</f>
        <v>77000</v>
      </c>
      <c r="J19" s="19">
        <f>IF(Setup!B26&lt;&gt;"",F19*H19*$B4,"")</f>
        <v>0</v>
      </c>
      <c r="K19" s="19">
        <f>IF(Setup!B26&lt;&gt;"",IF(E19=0,$B5,0),"")</f>
        <v>0</v>
      </c>
      <c r="L19" s="52">
        <f>IF(Setup!B26&lt;&gt;"",I19+J19+K19,"")</f>
        <v>77000</v>
      </c>
      <c r="M19" s="19">
        <f>IF(Setup!B26&lt;&gt;"",Payroll_Jun!P19,"")</f>
        <v>0</v>
      </c>
      <c r="N19" s="46">
        <v>0</v>
      </c>
      <c r="O19" s="46">
        <v>0</v>
      </c>
      <c r="P19" s="52">
        <f>IF(Setup!B26&lt;&gt;"",M19+N19-O19,"")</f>
        <v>0</v>
      </c>
      <c r="Q19" s="46">
        <v>0</v>
      </c>
      <c r="R19" s="47">
        <f>IF(Setup!B26&lt;&gt;"",L19-O19-Q19,"")</f>
        <v>77000</v>
      </c>
    </row>
    <row r="20" spans="1:18" ht="21.75" customHeight="1" x14ac:dyDescent="0.3">
      <c r="A20" s="1" t="str">
        <f>Setup!B27</f>
        <v>Internet bill</v>
      </c>
      <c r="B20" s="40">
        <f>IF(Setup!B27&lt;&gt;"",Setup!C27,"")</f>
        <v>2500</v>
      </c>
      <c r="C20" s="41">
        <f>IF(Setup!B27&lt;&gt;"",$B3,"")</f>
        <v>216</v>
      </c>
      <c r="D20" s="42">
        <f>IF(Setup!B27&lt;&gt;"",Attendance_Jul!Q39,"")</f>
        <v>216</v>
      </c>
      <c r="E20" s="41">
        <f>IF(Setup!B27&lt;&gt;"",Attendance_Jul!Q40,"")</f>
        <v>0</v>
      </c>
      <c r="F20" s="43">
        <f>IFERROR(IF(Setup!B27&lt;&gt;"",B20/C20,""),"")</f>
        <v>11.574074074074074</v>
      </c>
      <c r="G20" s="42">
        <f>IF(Setup!B27&lt;&gt;"",MIN(D20,C20),"")</f>
        <v>216</v>
      </c>
      <c r="H20" s="42">
        <f>IF(Setup!B27&lt;&gt;"",MAX(D20-C20,0),"")</f>
        <v>0</v>
      </c>
      <c r="I20" s="16">
        <f>IF(Setup!B27&lt;&gt;"",F20*G20,"")</f>
        <v>2500</v>
      </c>
      <c r="J20" s="16">
        <f>IF(Setup!B27&lt;&gt;"",F20*H20*$B4,"")</f>
        <v>0</v>
      </c>
      <c r="K20" s="16">
        <f>IF(Setup!B27&lt;&gt;"",IF(E20=0,$B5,0),"")</f>
        <v>0</v>
      </c>
      <c r="L20" s="44">
        <f>IF(Setup!B27&lt;&gt;"",I20+J20+K20,"")</f>
        <v>2500</v>
      </c>
      <c r="M20" s="16">
        <f>IF(Setup!B27&lt;&gt;"",Payroll_Jun!P20,"")</f>
        <v>0</v>
      </c>
      <c r="N20" s="46">
        <v>0</v>
      </c>
      <c r="O20" s="46">
        <v>0</v>
      </c>
      <c r="P20" s="44">
        <f>IF(Setup!B27&lt;&gt;"",M20+N20-O20,"")</f>
        <v>0</v>
      </c>
      <c r="Q20" s="46">
        <v>0</v>
      </c>
      <c r="R20" s="47">
        <f>IF(Setup!B27&lt;&gt;"",L20-O20-Q20,"")</f>
        <v>2500</v>
      </c>
    </row>
    <row r="21" spans="1:18" ht="21.75" customHeight="1" x14ac:dyDescent="0.3">
      <c r="A21" s="18" t="str">
        <f>Setup!B28</f>
        <v>Saqab</v>
      </c>
      <c r="B21" s="48">
        <f>IF(Setup!B28&lt;&gt;"",Setup!C28,"")</f>
        <v>25000</v>
      </c>
      <c r="C21" s="49">
        <f>IF(Setup!B28&lt;&gt;"",$B3,"")</f>
        <v>216</v>
      </c>
      <c r="D21" s="50">
        <f>IF(Setup!B28&lt;&gt;"",Attendance_Jul!R39,"")</f>
        <v>196.6</v>
      </c>
      <c r="E21" s="49">
        <f>IF(Setup!B28&lt;&gt;"",Attendance_Jul!R40,"")</f>
        <v>0</v>
      </c>
      <c r="F21" s="51">
        <f>IFERROR(IF(Setup!B28&lt;&gt;"",B21/C21,""),"")</f>
        <v>115.74074074074075</v>
      </c>
      <c r="G21" s="50">
        <f>IF(Setup!B28&lt;&gt;"",MIN(D21,C21),"")</f>
        <v>196.6</v>
      </c>
      <c r="H21" s="50">
        <f>IF(Setup!B28&lt;&gt;"",MAX(D21-C21,0),"")</f>
        <v>0</v>
      </c>
      <c r="I21" s="19">
        <f>IF(Setup!B28&lt;&gt;"",F21*G21,"")</f>
        <v>22754.629629629631</v>
      </c>
      <c r="J21" s="19">
        <f>IF(Setup!B28&lt;&gt;"",F21*H21*$B4,"")</f>
        <v>0</v>
      </c>
      <c r="K21" s="19">
        <f>IF(Setup!B28&lt;&gt;"",IF(E21=0,$B5,0),"")</f>
        <v>0</v>
      </c>
      <c r="L21" s="52">
        <f>IF(Setup!B28&lt;&gt;"",I21+J21+K21,"")</f>
        <v>22754.629629629631</v>
      </c>
      <c r="M21" s="19">
        <f>IF(Setup!B28&lt;&gt;"",Payroll_Jun!P21,"")</f>
        <v>0</v>
      </c>
      <c r="N21" s="46">
        <v>10000</v>
      </c>
      <c r="O21" s="46">
        <v>10000</v>
      </c>
      <c r="P21" s="52">
        <f>IF(Setup!B28&lt;&gt;"",M21+N21-O21,"")</f>
        <v>0</v>
      </c>
      <c r="Q21" s="46">
        <v>0</v>
      </c>
      <c r="R21" s="47">
        <f>IF(Setup!B28&lt;&gt;"",L21-O21-Q21,"")</f>
        <v>12754.629629629631</v>
      </c>
    </row>
    <row r="22" spans="1:18" ht="21.75" customHeight="1" x14ac:dyDescent="0.3">
      <c r="A22" s="1">
        <f>Setup!B29</f>
        <v>0</v>
      </c>
      <c r="B22" s="40" t="str">
        <f>IF(Setup!B29&lt;&gt;"",Setup!C29,"")</f>
        <v/>
      </c>
      <c r="C22" s="41" t="str">
        <f>IF(Setup!B29&lt;&gt;"",$B3,"")</f>
        <v/>
      </c>
      <c r="D22" s="42" t="str">
        <f>IF(Setup!B29&lt;&gt;"",Attendance_Jul!S39,"")</f>
        <v/>
      </c>
      <c r="E22" s="41" t="str">
        <f>IF(Setup!B29&lt;&gt;"",Attendance_Jul!S40,"")</f>
        <v/>
      </c>
      <c r="F22" s="43" t="str">
        <f>IFERROR(IF(Setup!B29&lt;&gt;"",B22/C22,""),"")</f>
        <v/>
      </c>
      <c r="G22" s="42" t="str">
        <f>IF(Setup!B29&lt;&gt;"",MIN(D22,C22),"")</f>
        <v/>
      </c>
      <c r="H22" s="42" t="str">
        <f>IF(Setup!B29&lt;&gt;"",MAX(D22-C22,0),"")</f>
        <v/>
      </c>
      <c r="I22" s="16" t="str">
        <f>IF(Setup!B29&lt;&gt;"",F22*G22,"")</f>
        <v/>
      </c>
      <c r="J22" s="16" t="str">
        <f>IF(Setup!B29&lt;&gt;"",F22*H22*$B4,"")</f>
        <v/>
      </c>
      <c r="K22" s="16" t="str">
        <f>IF(Setup!B29&lt;&gt;"",IF(E22=0,$B5,0),"")</f>
        <v/>
      </c>
      <c r="L22" s="44" t="str">
        <f>IF(Setup!B29&lt;&gt;"",I22+J22+K22,"")</f>
        <v/>
      </c>
      <c r="M22" s="16" t="str">
        <f>IF(Setup!B29&lt;&gt;"",Payroll_Jun!P22,"")</f>
        <v/>
      </c>
      <c r="N22" s="46">
        <v>0</v>
      </c>
      <c r="O22" s="46">
        <v>0</v>
      </c>
      <c r="P22" s="44" t="str">
        <f>IF(Setup!B29&lt;&gt;"",M22+N22-O22,"")</f>
        <v/>
      </c>
      <c r="Q22" s="46">
        <v>0</v>
      </c>
      <c r="R22" s="47" t="str">
        <f>IF(Setup!B29&lt;&gt;"",L22-O22-Q22,"")</f>
        <v/>
      </c>
    </row>
    <row r="23" spans="1:18" ht="21.75" customHeight="1" x14ac:dyDescent="0.3">
      <c r="A23" s="18">
        <f>Setup!B30</f>
        <v>0</v>
      </c>
      <c r="B23" s="48" t="str">
        <f>IF(Setup!B30&lt;&gt;"",Setup!C30,"")</f>
        <v/>
      </c>
      <c r="C23" s="49" t="str">
        <f>IF(Setup!B30&lt;&gt;"",$B3,"")</f>
        <v/>
      </c>
      <c r="D23" s="50" t="str">
        <f>IF(Setup!B30&lt;&gt;"",Attendance_Jul!T39,"")</f>
        <v/>
      </c>
      <c r="E23" s="49" t="str">
        <f>IF(Setup!B30&lt;&gt;"",Attendance_Jul!T40,"")</f>
        <v/>
      </c>
      <c r="F23" s="51" t="str">
        <f>IFERROR(IF(Setup!B30&lt;&gt;"",B23/C23,""),"")</f>
        <v/>
      </c>
      <c r="G23" s="50" t="str">
        <f>IF(Setup!B30&lt;&gt;"",MIN(D23,C23),"")</f>
        <v/>
      </c>
      <c r="H23" s="50" t="str">
        <f>IF(Setup!B30&lt;&gt;"",MAX(D23-C23,0),"")</f>
        <v/>
      </c>
      <c r="I23" s="19" t="str">
        <f>IF(Setup!B30&lt;&gt;"",F23*G23,"")</f>
        <v/>
      </c>
      <c r="J23" s="19" t="str">
        <f>IF(Setup!B30&lt;&gt;"",F23*H23*$B4,"")</f>
        <v/>
      </c>
      <c r="K23" s="19" t="str">
        <f>IF(Setup!B30&lt;&gt;"",IF(E23=0,$B5,0),"")</f>
        <v/>
      </c>
      <c r="L23" s="52" t="str">
        <f>IF(Setup!B30&lt;&gt;"",I23+J23+K23,"")</f>
        <v/>
      </c>
      <c r="M23" s="19" t="str">
        <f>IF(Setup!B30&lt;&gt;"",Payroll_Jun!P23,"")</f>
        <v/>
      </c>
      <c r="N23" s="46">
        <v>0</v>
      </c>
      <c r="O23" s="46">
        <v>0</v>
      </c>
      <c r="P23" s="52" t="str">
        <f>IF(Setup!B30&lt;&gt;"",M23+N23-O23,"")</f>
        <v/>
      </c>
      <c r="Q23" s="46">
        <v>0</v>
      </c>
      <c r="R23" s="47" t="str">
        <f>IF(Setup!B30&lt;&gt;"",L23-O23-Q23,"")</f>
        <v/>
      </c>
    </row>
    <row r="24" spans="1:18" ht="21.75" customHeight="1" x14ac:dyDescent="0.3">
      <c r="A24" s="1">
        <f>Setup!B31</f>
        <v>0</v>
      </c>
      <c r="B24" s="40" t="str">
        <f>IF(Setup!B31&lt;&gt;"",Setup!C31,"")</f>
        <v/>
      </c>
      <c r="C24" s="41" t="str">
        <f>IF(Setup!B31&lt;&gt;"",$B3,"")</f>
        <v/>
      </c>
      <c r="D24" s="42" t="str">
        <f>IF(Setup!B31&lt;&gt;"",Attendance_Jul!U39,"")</f>
        <v/>
      </c>
      <c r="E24" s="41" t="str">
        <f>IF(Setup!B31&lt;&gt;"",Attendance_Jul!U40,"")</f>
        <v/>
      </c>
      <c r="F24" s="43" t="str">
        <f>IFERROR(IF(Setup!B31&lt;&gt;"",B24/C24,""),"")</f>
        <v/>
      </c>
      <c r="G24" s="42" t="str">
        <f>IF(Setup!B31&lt;&gt;"",MIN(D24,C24),"")</f>
        <v/>
      </c>
      <c r="H24" s="42" t="str">
        <f>IF(Setup!B31&lt;&gt;"",MAX(D24-C24,0),"")</f>
        <v/>
      </c>
      <c r="I24" s="16" t="str">
        <f>IF(Setup!B31&lt;&gt;"",F24*G24,"")</f>
        <v/>
      </c>
      <c r="J24" s="16" t="str">
        <f>IF(Setup!B31&lt;&gt;"",F24*H24*$B4,"")</f>
        <v/>
      </c>
      <c r="K24" s="16" t="str">
        <f>IF(Setup!B31&lt;&gt;"",IF(E24=0,$B5,0),"")</f>
        <v/>
      </c>
      <c r="L24" s="44" t="str">
        <f>IF(Setup!B31&lt;&gt;"",I24+J24+K24,"")</f>
        <v/>
      </c>
      <c r="M24" s="16" t="str">
        <f>IF(Setup!B31&lt;&gt;"",Payroll_Jun!P24,"")</f>
        <v/>
      </c>
      <c r="N24" s="46">
        <v>0</v>
      </c>
      <c r="O24" s="46">
        <v>0</v>
      </c>
      <c r="P24" s="44" t="str">
        <f>IF(Setup!B31&lt;&gt;"",M24+N24-O24,"")</f>
        <v/>
      </c>
      <c r="Q24" s="46">
        <v>0</v>
      </c>
      <c r="R24" s="47" t="str">
        <f>IF(Setup!B31&lt;&gt;"",L24-O24-Q24,"")</f>
        <v/>
      </c>
    </row>
    <row r="25" spans="1:18" ht="21.75" customHeight="1" x14ac:dyDescent="0.3">
      <c r="A25" s="18">
        <f>Setup!B32</f>
        <v>0</v>
      </c>
      <c r="B25" s="48" t="str">
        <f>IF(Setup!B32&lt;&gt;"",Setup!C32,"")</f>
        <v/>
      </c>
      <c r="C25" s="49" t="str">
        <f>IF(Setup!B32&lt;&gt;"",$B3,"")</f>
        <v/>
      </c>
      <c r="D25" s="50" t="str">
        <f>IF(Setup!B32&lt;&gt;"",Attendance_Jul!V39,"")</f>
        <v/>
      </c>
      <c r="E25" s="49" t="str">
        <f>IF(Setup!B32&lt;&gt;"",Attendance_Jul!V40,"")</f>
        <v/>
      </c>
      <c r="F25" s="51" t="str">
        <f>IFERROR(IF(Setup!B32&lt;&gt;"",B25/C25,""),"")</f>
        <v/>
      </c>
      <c r="G25" s="50" t="str">
        <f>IF(Setup!B32&lt;&gt;"",MIN(D25,C25),"")</f>
        <v/>
      </c>
      <c r="H25" s="50" t="str">
        <f>IF(Setup!B32&lt;&gt;"",MAX(D25-C25,0),"")</f>
        <v/>
      </c>
      <c r="I25" s="19" t="str">
        <f>IF(Setup!B32&lt;&gt;"",F25*G25,"")</f>
        <v/>
      </c>
      <c r="J25" s="19" t="str">
        <f>IF(Setup!B32&lt;&gt;"",F25*H25*$B4,"")</f>
        <v/>
      </c>
      <c r="K25" s="19" t="str">
        <f>IF(Setup!B32&lt;&gt;"",IF(E25=0,$B5,0),"")</f>
        <v/>
      </c>
      <c r="L25" s="52" t="str">
        <f>IF(Setup!B32&lt;&gt;"",I25+J25+K25,"")</f>
        <v/>
      </c>
      <c r="M25" s="19" t="str">
        <f>IF(Setup!B32&lt;&gt;"",Payroll_Jun!P25,"")</f>
        <v/>
      </c>
      <c r="N25" s="46">
        <v>0</v>
      </c>
      <c r="O25" s="46">
        <v>0</v>
      </c>
      <c r="P25" s="52" t="str">
        <f>IF(Setup!B32&lt;&gt;"",M25+N25-O25,"")</f>
        <v/>
      </c>
      <c r="Q25" s="46">
        <v>0</v>
      </c>
      <c r="R25" s="47" t="str">
        <f>IF(Setup!B32&lt;&gt;"",L25-O25-Q25,"")</f>
        <v/>
      </c>
    </row>
    <row r="26" spans="1:18" ht="21.75" customHeight="1" x14ac:dyDescent="0.3">
      <c r="A26" s="1">
        <f>Setup!B33</f>
        <v>0</v>
      </c>
      <c r="B26" s="40" t="str">
        <f>IF(Setup!B33&lt;&gt;"",Setup!C33,"")</f>
        <v/>
      </c>
      <c r="C26" s="41" t="str">
        <f>IF(Setup!B33&lt;&gt;"",$B3,"")</f>
        <v/>
      </c>
      <c r="D26" s="42" t="str">
        <f>IF(Setup!B33&lt;&gt;"",Attendance_Jul!W39,"")</f>
        <v/>
      </c>
      <c r="E26" s="41" t="str">
        <f>IF(Setup!B33&lt;&gt;"",Attendance_Jul!W40,"")</f>
        <v/>
      </c>
      <c r="F26" s="43" t="str">
        <f>IFERROR(IF(Setup!B33&lt;&gt;"",B26/C26,""),"")</f>
        <v/>
      </c>
      <c r="G26" s="42" t="str">
        <f>IF(Setup!B33&lt;&gt;"",MIN(D26,C26),"")</f>
        <v/>
      </c>
      <c r="H26" s="42" t="str">
        <f>IF(Setup!B33&lt;&gt;"",MAX(D26-C26,0),"")</f>
        <v/>
      </c>
      <c r="I26" s="16" t="str">
        <f>IF(Setup!B33&lt;&gt;"",F26*G26,"")</f>
        <v/>
      </c>
      <c r="J26" s="16" t="str">
        <f>IF(Setup!B33&lt;&gt;"",F26*H26*$B4,"")</f>
        <v/>
      </c>
      <c r="K26" s="16" t="str">
        <f>IF(Setup!B33&lt;&gt;"",IF(E26=0,$B5,0),"")</f>
        <v/>
      </c>
      <c r="L26" s="44" t="str">
        <f>IF(Setup!B33&lt;&gt;"",I26+J26+K26,"")</f>
        <v/>
      </c>
      <c r="M26" s="16" t="str">
        <f>IF(Setup!B33&lt;&gt;"",Payroll_Jun!P26,"")</f>
        <v/>
      </c>
      <c r="N26" s="46">
        <v>0</v>
      </c>
      <c r="O26" s="46">
        <v>0</v>
      </c>
      <c r="P26" s="44" t="str">
        <f>IF(Setup!B33&lt;&gt;"",M26+N26-O26,"")</f>
        <v/>
      </c>
      <c r="Q26" s="46">
        <v>0</v>
      </c>
      <c r="R26" s="47" t="str">
        <f>IF(Setup!B33&lt;&gt;"",L26-O26-Q26,"")</f>
        <v/>
      </c>
    </row>
    <row r="27" spans="1:18" ht="21.75" customHeight="1" x14ac:dyDescent="0.3">
      <c r="A27" s="18">
        <f>Setup!B34</f>
        <v>0</v>
      </c>
      <c r="B27" s="48" t="str">
        <f>IF(Setup!B34&lt;&gt;"",Setup!C34,"")</f>
        <v/>
      </c>
      <c r="C27" s="49" t="str">
        <f>IF(Setup!B34&lt;&gt;"",$B3,"")</f>
        <v/>
      </c>
      <c r="D27" s="50" t="str">
        <f>IF(Setup!B34&lt;&gt;"",Attendance_Jul!X39,"")</f>
        <v/>
      </c>
      <c r="E27" s="49" t="str">
        <f>IF(Setup!B34&lt;&gt;"",Attendance_Jul!X40,"")</f>
        <v/>
      </c>
      <c r="F27" s="51" t="str">
        <f>IFERROR(IF(Setup!B34&lt;&gt;"",B27/C27,""),"")</f>
        <v/>
      </c>
      <c r="G27" s="50" t="str">
        <f>IF(Setup!B34&lt;&gt;"",MIN(D27,C27),"")</f>
        <v/>
      </c>
      <c r="H27" s="50" t="str">
        <f>IF(Setup!B34&lt;&gt;"",MAX(D27-C27,0),"")</f>
        <v/>
      </c>
      <c r="I27" s="19" t="str">
        <f>IF(Setup!B34&lt;&gt;"",F27*G27,"")</f>
        <v/>
      </c>
      <c r="J27" s="19" t="str">
        <f>IF(Setup!B34&lt;&gt;"",F27*H27*$B4,"")</f>
        <v/>
      </c>
      <c r="K27" s="19" t="str">
        <f>IF(Setup!B34&lt;&gt;"",IF(E27=0,$B5,0),"")</f>
        <v/>
      </c>
      <c r="L27" s="52" t="str">
        <f>IF(Setup!B34&lt;&gt;"",I27+J27+K27,"")</f>
        <v/>
      </c>
      <c r="M27" s="19" t="str">
        <f>IF(Setup!B34&lt;&gt;"",Payroll_Jun!P27,"")</f>
        <v/>
      </c>
      <c r="N27" s="46">
        <v>0</v>
      </c>
      <c r="O27" s="46">
        <v>0</v>
      </c>
      <c r="P27" s="52" t="str">
        <f>IF(Setup!B34&lt;&gt;"",M27+N27-O27,"")</f>
        <v/>
      </c>
      <c r="Q27" s="46">
        <v>0</v>
      </c>
      <c r="R27" s="47" t="str">
        <f>IF(Setup!B34&lt;&gt;"",L27-O27-Q27,"")</f>
        <v/>
      </c>
    </row>
    <row r="28" spans="1:18" ht="21.75" customHeight="1" x14ac:dyDescent="0.3">
      <c r="A28" s="1">
        <f>Setup!B35</f>
        <v>0</v>
      </c>
      <c r="B28" s="40" t="str">
        <f>IF(Setup!B35&lt;&gt;"",Setup!C35,"")</f>
        <v/>
      </c>
      <c r="C28" s="41" t="str">
        <f>IF(Setup!B35&lt;&gt;"",$B3,"")</f>
        <v/>
      </c>
      <c r="D28" s="42" t="str">
        <f>IF(Setup!B35&lt;&gt;"",Attendance_Jul!Y39,"")</f>
        <v/>
      </c>
      <c r="E28" s="41" t="str">
        <f>IF(Setup!B35&lt;&gt;"",Attendance_Jul!Y40,"")</f>
        <v/>
      </c>
      <c r="F28" s="43" t="str">
        <f>IFERROR(IF(Setup!B35&lt;&gt;"",B28/C28,""),"")</f>
        <v/>
      </c>
      <c r="G28" s="42" t="str">
        <f>IF(Setup!B35&lt;&gt;"",MIN(D28,C28),"")</f>
        <v/>
      </c>
      <c r="H28" s="42" t="str">
        <f>IF(Setup!B35&lt;&gt;"",MAX(D28-C28,0),"")</f>
        <v/>
      </c>
      <c r="I28" s="16" t="str">
        <f>IF(Setup!B35&lt;&gt;"",F28*G28,"")</f>
        <v/>
      </c>
      <c r="J28" s="16" t="str">
        <f>IF(Setup!B35&lt;&gt;"",F28*H28*$B4,"")</f>
        <v/>
      </c>
      <c r="K28" s="16" t="str">
        <f>IF(Setup!B35&lt;&gt;"",IF(E28=0,$B5,0),"")</f>
        <v/>
      </c>
      <c r="L28" s="44" t="str">
        <f>IF(Setup!B35&lt;&gt;"",I28+J28+K28,"")</f>
        <v/>
      </c>
      <c r="M28" s="16" t="str">
        <f>IF(Setup!B35&lt;&gt;"",Payroll_Jun!P28,"")</f>
        <v/>
      </c>
      <c r="N28" s="46">
        <v>0</v>
      </c>
      <c r="O28" s="46">
        <v>0</v>
      </c>
      <c r="P28" s="44" t="str">
        <f>IF(Setup!B35&lt;&gt;"",M28+N28-O28,"")</f>
        <v/>
      </c>
      <c r="Q28" s="46">
        <v>0</v>
      </c>
      <c r="R28" s="47" t="str">
        <f>IF(Setup!B35&lt;&gt;"",L28-O28-Q28,"")</f>
        <v/>
      </c>
    </row>
    <row r="29" spans="1:18" ht="21.75" customHeight="1" x14ac:dyDescent="0.3">
      <c r="A29" s="18">
        <f>Setup!B36</f>
        <v>0</v>
      </c>
      <c r="B29" s="48" t="str">
        <f>IF(Setup!B36&lt;&gt;"",Setup!C36,"")</f>
        <v/>
      </c>
      <c r="C29" s="49" t="str">
        <f>IF(Setup!B36&lt;&gt;"",$B3,"")</f>
        <v/>
      </c>
      <c r="D29" s="50" t="str">
        <f>IF(Setup!B36&lt;&gt;"",Attendance_Jul!Z39,"")</f>
        <v/>
      </c>
      <c r="E29" s="49" t="str">
        <f>IF(Setup!B36&lt;&gt;"",Attendance_Jul!Z40,"")</f>
        <v/>
      </c>
      <c r="F29" s="51" t="str">
        <f>IFERROR(IF(Setup!B36&lt;&gt;"",B29/C29,""),"")</f>
        <v/>
      </c>
      <c r="G29" s="50" t="str">
        <f>IF(Setup!B36&lt;&gt;"",MIN(D29,C29),"")</f>
        <v/>
      </c>
      <c r="H29" s="50" t="str">
        <f>IF(Setup!B36&lt;&gt;"",MAX(D29-C29,0),"")</f>
        <v/>
      </c>
      <c r="I29" s="19" t="str">
        <f>IF(Setup!B36&lt;&gt;"",F29*G29,"")</f>
        <v/>
      </c>
      <c r="J29" s="19" t="str">
        <f>IF(Setup!B36&lt;&gt;"",F29*H29*$B4,"")</f>
        <v/>
      </c>
      <c r="K29" s="19" t="str">
        <f>IF(Setup!B36&lt;&gt;"",IF(E29=0,$B5,0),"")</f>
        <v/>
      </c>
      <c r="L29" s="52" t="str">
        <f>IF(Setup!B36&lt;&gt;"",I29+J29+K29,"")</f>
        <v/>
      </c>
      <c r="M29" s="19" t="str">
        <f>IF(Setup!B36&lt;&gt;"",Payroll_Jun!P29,"")</f>
        <v/>
      </c>
      <c r="N29" s="46">
        <v>0</v>
      </c>
      <c r="O29" s="46">
        <v>0</v>
      </c>
      <c r="P29" s="52" t="str">
        <f>IF(Setup!B36&lt;&gt;"",M29+N29-O29,"")</f>
        <v/>
      </c>
      <c r="Q29" s="46">
        <v>0</v>
      </c>
      <c r="R29" s="47" t="str">
        <f>IF(Setup!B36&lt;&gt;"",L29-O29-Q29,"")</f>
        <v/>
      </c>
    </row>
    <row r="30" spans="1:18" ht="21.75" customHeight="1" x14ac:dyDescent="0.3">
      <c r="A30" s="1">
        <f>Setup!B37</f>
        <v>0</v>
      </c>
      <c r="B30" s="40" t="str">
        <f>IF(Setup!B37&lt;&gt;"",Setup!C37,"")</f>
        <v/>
      </c>
      <c r="C30" s="41" t="str">
        <f>IF(Setup!B37&lt;&gt;"",$B3,"")</f>
        <v/>
      </c>
      <c r="D30" s="42" t="str">
        <f>IF(Setup!B37&lt;&gt;"",Attendance_Jul!AA39,"")</f>
        <v/>
      </c>
      <c r="E30" s="41" t="str">
        <f>IF(Setup!B37&lt;&gt;"",Attendance_Jul!AA40,"")</f>
        <v/>
      </c>
      <c r="F30" s="43" t="str">
        <f>IFERROR(IF(Setup!B37&lt;&gt;"",B30/C30,""),"")</f>
        <v/>
      </c>
      <c r="G30" s="42" t="str">
        <f>IF(Setup!B37&lt;&gt;"",MIN(D30,C30),"")</f>
        <v/>
      </c>
      <c r="H30" s="42" t="str">
        <f>IF(Setup!B37&lt;&gt;"",MAX(D30-C30,0),"")</f>
        <v/>
      </c>
      <c r="I30" s="16" t="str">
        <f>IF(Setup!B37&lt;&gt;"",F30*G30,"")</f>
        <v/>
      </c>
      <c r="J30" s="16" t="str">
        <f>IF(Setup!B37&lt;&gt;"",F30*H30*$B4,"")</f>
        <v/>
      </c>
      <c r="K30" s="16" t="str">
        <f>IF(Setup!B37&lt;&gt;"",IF(E30=0,$B5,0),"")</f>
        <v/>
      </c>
      <c r="L30" s="44" t="str">
        <f>IF(Setup!B37&lt;&gt;"",I30+J30+K30,"")</f>
        <v/>
      </c>
      <c r="M30" s="16" t="str">
        <f>IF(Setup!B37&lt;&gt;"",Payroll_Jun!P30,"")</f>
        <v/>
      </c>
      <c r="N30" s="46">
        <v>0</v>
      </c>
      <c r="O30" s="46">
        <v>0</v>
      </c>
      <c r="P30" s="44" t="str">
        <f>IF(Setup!B37&lt;&gt;"",M30+N30-O30,"")</f>
        <v/>
      </c>
      <c r="Q30" s="46">
        <v>0</v>
      </c>
      <c r="R30" s="47" t="str">
        <f>IF(Setup!B37&lt;&gt;"",L30-O30-Q30,"")</f>
        <v/>
      </c>
    </row>
    <row r="31" spans="1:18" ht="21.75" customHeight="1" x14ac:dyDescent="0.3">
      <c r="A31" s="18">
        <f>Setup!B38</f>
        <v>0</v>
      </c>
      <c r="B31" s="48" t="str">
        <f>IF(Setup!B38&lt;&gt;"",Setup!C38,"")</f>
        <v/>
      </c>
      <c r="C31" s="49" t="str">
        <f>IF(Setup!B38&lt;&gt;"",$B3,"")</f>
        <v/>
      </c>
      <c r="D31" s="50" t="str">
        <f>IF(Setup!B38&lt;&gt;"",Attendance_Jul!AB39,"")</f>
        <v/>
      </c>
      <c r="E31" s="49" t="str">
        <f>IF(Setup!B38&lt;&gt;"",Attendance_Jul!AB40,"")</f>
        <v/>
      </c>
      <c r="F31" s="51" t="str">
        <f>IFERROR(IF(Setup!B38&lt;&gt;"",B31/C31,""),"")</f>
        <v/>
      </c>
      <c r="G31" s="50" t="str">
        <f>IF(Setup!B38&lt;&gt;"",MIN(D31,C31),"")</f>
        <v/>
      </c>
      <c r="H31" s="50" t="str">
        <f>IF(Setup!B38&lt;&gt;"",MAX(D31-C31,0),"")</f>
        <v/>
      </c>
      <c r="I31" s="19" t="str">
        <f>IF(Setup!B38&lt;&gt;"",F31*G31,"")</f>
        <v/>
      </c>
      <c r="J31" s="19" t="str">
        <f>IF(Setup!B38&lt;&gt;"",F31*H31*$B4,"")</f>
        <v/>
      </c>
      <c r="K31" s="19" t="str">
        <f>IF(Setup!B38&lt;&gt;"",IF(E31=0,$B5,0),"")</f>
        <v/>
      </c>
      <c r="L31" s="52" t="str">
        <f>IF(Setup!B38&lt;&gt;"",I31+J31+K31,"")</f>
        <v/>
      </c>
      <c r="M31" s="19" t="str">
        <f>IF(Setup!B38&lt;&gt;"",Payroll_Jun!P31,"")</f>
        <v/>
      </c>
      <c r="N31" s="46">
        <v>0</v>
      </c>
      <c r="O31" s="46">
        <v>0</v>
      </c>
      <c r="P31" s="52" t="str">
        <f>IF(Setup!B38&lt;&gt;"",M31+N31-O31,"")</f>
        <v/>
      </c>
      <c r="Q31" s="46">
        <v>0</v>
      </c>
      <c r="R31" s="47" t="str">
        <f>IF(Setup!B38&lt;&gt;"",L31-O31-Q31,"")</f>
        <v/>
      </c>
    </row>
    <row r="32" spans="1:18" ht="21.75" customHeight="1" x14ac:dyDescent="0.3">
      <c r="A32" s="1">
        <f>Setup!B39</f>
        <v>0</v>
      </c>
      <c r="B32" s="40" t="str">
        <f>IF(Setup!B39&lt;&gt;"",Setup!C39,"")</f>
        <v/>
      </c>
      <c r="C32" s="41" t="str">
        <f>IF(Setup!B39&lt;&gt;"",$B3,"")</f>
        <v/>
      </c>
      <c r="D32" s="42" t="str">
        <f>IF(Setup!B39&lt;&gt;"",Attendance_Jul!AC39,"")</f>
        <v/>
      </c>
      <c r="E32" s="41" t="str">
        <f>IF(Setup!B39&lt;&gt;"",Attendance_Jul!AC40,"")</f>
        <v/>
      </c>
      <c r="F32" s="43" t="str">
        <f>IFERROR(IF(Setup!B39&lt;&gt;"",B32/C32,""),"")</f>
        <v/>
      </c>
      <c r="G32" s="42" t="str">
        <f>IF(Setup!B39&lt;&gt;"",MIN(D32,C32),"")</f>
        <v/>
      </c>
      <c r="H32" s="42" t="str">
        <f>IF(Setup!B39&lt;&gt;"",MAX(D32-C32,0),"")</f>
        <v/>
      </c>
      <c r="I32" s="16" t="str">
        <f>IF(Setup!B39&lt;&gt;"",F32*G32,"")</f>
        <v/>
      </c>
      <c r="J32" s="16" t="str">
        <f>IF(Setup!B39&lt;&gt;"",F32*H32*$B4,"")</f>
        <v/>
      </c>
      <c r="K32" s="16" t="str">
        <f>IF(Setup!B39&lt;&gt;"",IF(E32=0,$B5,0),"")</f>
        <v/>
      </c>
      <c r="L32" s="44" t="str">
        <f>IF(Setup!B39&lt;&gt;"",I32+J32+K32,"")</f>
        <v/>
      </c>
      <c r="M32" s="16" t="str">
        <f>IF(Setup!B39&lt;&gt;"",Payroll_Jun!P32,"")</f>
        <v/>
      </c>
      <c r="N32" s="46">
        <v>0</v>
      </c>
      <c r="O32" s="46">
        <v>0</v>
      </c>
      <c r="P32" s="44" t="str">
        <f>IF(Setup!B39&lt;&gt;"",M32+N32-O32,"")</f>
        <v/>
      </c>
      <c r="Q32" s="46">
        <v>0</v>
      </c>
      <c r="R32" s="47" t="str">
        <f>IF(Setup!B39&lt;&gt;"",L32-O32-Q32,"")</f>
        <v/>
      </c>
    </row>
    <row r="33" spans="1:18" ht="21.75" customHeight="1" x14ac:dyDescent="0.3">
      <c r="A33" s="18">
        <f>Setup!B40</f>
        <v>0</v>
      </c>
      <c r="B33" s="48" t="str">
        <f>IF(Setup!B40&lt;&gt;"",Setup!C40,"")</f>
        <v/>
      </c>
      <c r="C33" s="49" t="str">
        <f>IF(Setup!B40&lt;&gt;"",$B3,"")</f>
        <v/>
      </c>
      <c r="D33" s="50" t="str">
        <f>IF(Setup!B40&lt;&gt;"",Attendance_Jul!AD39,"")</f>
        <v/>
      </c>
      <c r="E33" s="49" t="str">
        <f>IF(Setup!B40&lt;&gt;"",Attendance_Jul!AD40,"")</f>
        <v/>
      </c>
      <c r="F33" s="51" t="str">
        <f>IFERROR(IF(Setup!B40&lt;&gt;"",B33/C33,""),"")</f>
        <v/>
      </c>
      <c r="G33" s="50" t="str">
        <f>IF(Setup!B40&lt;&gt;"",MIN(D33,C33),"")</f>
        <v/>
      </c>
      <c r="H33" s="50" t="str">
        <f>IF(Setup!B40&lt;&gt;"",MAX(D33-C33,0),"")</f>
        <v/>
      </c>
      <c r="I33" s="19" t="str">
        <f>IF(Setup!B40&lt;&gt;"",F33*G33,"")</f>
        <v/>
      </c>
      <c r="J33" s="19" t="str">
        <f>IF(Setup!B40&lt;&gt;"",F33*H33*$B4,"")</f>
        <v/>
      </c>
      <c r="K33" s="19" t="str">
        <f>IF(Setup!B40&lt;&gt;"",IF(E33=0,$B5,0),"")</f>
        <v/>
      </c>
      <c r="L33" s="52" t="str">
        <f>IF(Setup!B40&lt;&gt;"",I33+J33+K33,"")</f>
        <v/>
      </c>
      <c r="M33" s="19" t="str">
        <f>IF(Setup!B40&lt;&gt;"",Payroll_Jun!P33,"")</f>
        <v/>
      </c>
      <c r="N33" s="46">
        <v>0</v>
      </c>
      <c r="O33" s="46">
        <v>0</v>
      </c>
      <c r="P33" s="52" t="str">
        <f>IF(Setup!B40&lt;&gt;"",M33+N33-O33,"")</f>
        <v/>
      </c>
      <c r="Q33" s="46">
        <v>0</v>
      </c>
      <c r="R33" s="47" t="str">
        <f>IF(Setup!B40&lt;&gt;"",L33-O33-Q33,"")</f>
        <v/>
      </c>
    </row>
    <row r="34" spans="1:18" ht="21.75" customHeight="1" x14ac:dyDescent="0.3">
      <c r="A34" s="1">
        <f>Setup!B41</f>
        <v>0</v>
      </c>
      <c r="B34" s="40" t="str">
        <f>IF(Setup!B41&lt;&gt;"",Setup!C41,"")</f>
        <v/>
      </c>
      <c r="C34" s="41" t="str">
        <f>IF(Setup!B41&lt;&gt;"",$B3,"")</f>
        <v/>
      </c>
      <c r="D34" s="42" t="str">
        <f>IF(Setup!B41&lt;&gt;"",Attendance_Jul!AE39,"")</f>
        <v/>
      </c>
      <c r="E34" s="41" t="str">
        <f>IF(Setup!B41&lt;&gt;"",Attendance_Jul!AE40,"")</f>
        <v/>
      </c>
      <c r="F34" s="43" t="str">
        <f>IFERROR(IF(Setup!B41&lt;&gt;"",B34/C34,""),"")</f>
        <v/>
      </c>
      <c r="G34" s="42" t="str">
        <f>IF(Setup!B41&lt;&gt;"",MIN(D34,C34),"")</f>
        <v/>
      </c>
      <c r="H34" s="42" t="str">
        <f>IF(Setup!B41&lt;&gt;"",MAX(D34-C34,0),"")</f>
        <v/>
      </c>
      <c r="I34" s="16" t="str">
        <f>IF(Setup!B41&lt;&gt;"",F34*G34,"")</f>
        <v/>
      </c>
      <c r="J34" s="16" t="str">
        <f>IF(Setup!B41&lt;&gt;"",F34*H34*$B4,"")</f>
        <v/>
      </c>
      <c r="K34" s="16" t="str">
        <f>IF(Setup!B41&lt;&gt;"",IF(E34=0,$B5,0),"")</f>
        <v/>
      </c>
      <c r="L34" s="44" t="str">
        <f>IF(Setup!B41&lt;&gt;"",I34+J34+K34,"")</f>
        <v/>
      </c>
      <c r="M34" s="16" t="str">
        <f>IF(Setup!B41&lt;&gt;"",Payroll_Jun!P34,"")</f>
        <v/>
      </c>
      <c r="N34" s="46">
        <v>0</v>
      </c>
      <c r="O34" s="46">
        <v>0</v>
      </c>
      <c r="P34" s="44" t="str">
        <f>IF(Setup!B41&lt;&gt;"",M34+N34-O34,"")</f>
        <v/>
      </c>
      <c r="Q34" s="46">
        <v>0</v>
      </c>
      <c r="R34" s="47" t="str">
        <f>IF(Setup!B41&lt;&gt;"",L34-O34-Q34,"")</f>
        <v/>
      </c>
    </row>
    <row r="35" spans="1:18" ht="21.75" customHeight="1" x14ac:dyDescent="0.3">
      <c r="A35" s="18">
        <f>Setup!B42</f>
        <v>0</v>
      </c>
      <c r="B35" s="48" t="str">
        <f>IF(Setup!B42&lt;&gt;"",Setup!C42,"")</f>
        <v/>
      </c>
      <c r="C35" s="49" t="str">
        <f>IF(Setup!B42&lt;&gt;"",$B3,"")</f>
        <v/>
      </c>
      <c r="D35" s="50" t="str">
        <f>IF(Setup!B42&lt;&gt;"",Attendance_Jul!AF39,"")</f>
        <v/>
      </c>
      <c r="E35" s="49" t="str">
        <f>IF(Setup!B42&lt;&gt;"",Attendance_Jul!AF40,"")</f>
        <v/>
      </c>
      <c r="F35" s="51" t="str">
        <f>IFERROR(IF(Setup!B42&lt;&gt;"",B35/C35,""),"")</f>
        <v/>
      </c>
      <c r="G35" s="50" t="str">
        <f>IF(Setup!B42&lt;&gt;"",MIN(D35,C35),"")</f>
        <v/>
      </c>
      <c r="H35" s="50" t="str">
        <f>IF(Setup!B42&lt;&gt;"",MAX(D35-C35,0),"")</f>
        <v/>
      </c>
      <c r="I35" s="19" t="str">
        <f>IF(Setup!B42&lt;&gt;"",F35*G35,"")</f>
        <v/>
      </c>
      <c r="J35" s="19" t="str">
        <f>IF(Setup!B42&lt;&gt;"",F35*H35*$B4,"")</f>
        <v/>
      </c>
      <c r="K35" s="19" t="str">
        <f>IF(Setup!B42&lt;&gt;"",IF(E35=0,$B5,0),"")</f>
        <v/>
      </c>
      <c r="L35" s="52" t="str">
        <f>IF(Setup!B42&lt;&gt;"",I35+J35+K35,"")</f>
        <v/>
      </c>
      <c r="M35" s="19" t="str">
        <f>IF(Setup!B42&lt;&gt;"",Payroll_Jun!P35,"")</f>
        <v/>
      </c>
      <c r="N35" s="46">
        <v>0</v>
      </c>
      <c r="O35" s="46">
        <v>0</v>
      </c>
      <c r="P35" s="52" t="str">
        <f>IF(Setup!B42&lt;&gt;"",M35+N35-O35,"")</f>
        <v/>
      </c>
      <c r="Q35" s="46">
        <v>0</v>
      </c>
      <c r="R35" s="47" t="str">
        <f>IF(Setup!B42&lt;&gt;"",L35-O35-Q35,"")</f>
        <v/>
      </c>
    </row>
    <row r="36" spans="1:18" ht="21.75" customHeight="1" x14ac:dyDescent="0.3">
      <c r="A36" s="1">
        <f>Setup!B43</f>
        <v>0</v>
      </c>
      <c r="B36" s="40" t="str">
        <f>IF(Setup!B43&lt;&gt;"",Setup!C43,"")</f>
        <v/>
      </c>
      <c r="C36" s="41" t="str">
        <f>IF(Setup!B43&lt;&gt;"",$B3,"")</f>
        <v/>
      </c>
      <c r="D36" s="42" t="str">
        <f>IF(Setup!B43&lt;&gt;"",Attendance_Jul!AG39,"")</f>
        <v/>
      </c>
      <c r="E36" s="41" t="str">
        <f>IF(Setup!B43&lt;&gt;"",Attendance_Jul!AG40,"")</f>
        <v/>
      </c>
      <c r="F36" s="43" t="str">
        <f>IFERROR(IF(Setup!B43&lt;&gt;"",B36/C36,""),"")</f>
        <v/>
      </c>
      <c r="G36" s="42" t="str">
        <f>IF(Setup!B43&lt;&gt;"",MIN(D36,C36),"")</f>
        <v/>
      </c>
      <c r="H36" s="42" t="str">
        <f>IF(Setup!B43&lt;&gt;"",MAX(D36-C36,0),"")</f>
        <v/>
      </c>
      <c r="I36" s="16" t="str">
        <f>IF(Setup!B43&lt;&gt;"",F36*G36,"")</f>
        <v/>
      </c>
      <c r="J36" s="16" t="str">
        <f>IF(Setup!B43&lt;&gt;"",F36*H36*$B4,"")</f>
        <v/>
      </c>
      <c r="K36" s="16" t="str">
        <f>IF(Setup!B43&lt;&gt;"",IF(E36=0,$B5,0),"")</f>
        <v/>
      </c>
      <c r="L36" s="44" t="str">
        <f>IF(Setup!B43&lt;&gt;"",I36+J36+K36,"")</f>
        <v/>
      </c>
      <c r="M36" s="16" t="str">
        <f>IF(Setup!B43&lt;&gt;"",Payroll_Jun!P36,"")</f>
        <v/>
      </c>
      <c r="N36" s="46">
        <v>0</v>
      </c>
      <c r="O36" s="46">
        <v>0</v>
      </c>
      <c r="P36" s="44" t="str">
        <f>IF(Setup!B43&lt;&gt;"",M36+N36-O36,"")</f>
        <v/>
      </c>
      <c r="Q36" s="46">
        <v>0</v>
      </c>
      <c r="R36" s="47" t="str">
        <f>IF(Setup!B43&lt;&gt;"",L36-O36-Q36,"")</f>
        <v/>
      </c>
    </row>
    <row r="37" spans="1:18" ht="21.75" customHeight="1" x14ac:dyDescent="0.3">
      <c r="A37" s="18">
        <f>Setup!B44</f>
        <v>0</v>
      </c>
      <c r="B37" s="48" t="str">
        <f>IF(Setup!B44&lt;&gt;"",Setup!C44,"")</f>
        <v/>
      </c>
      <c r="C37" s="49" t="str">
        <f>IF(Setup!B44&lt;&gt;"",$B3,"")</f>
        <v/>
      </c>
      <c r="D37" s="50" t="str">
        <f>IF(Setup!B44&lt;&gt;"",Attendance_Jul!AH39,"")</f>
        <v/>
      </c>
      <c r="E37" s="49" t="str">
        <f>IF(Setup!B44&lt;&gt;"",Attendance_Jul!AH40,"")</f>
        <v/>
      </c>
      <c r="F37" s="51" t="str">
        <f>IFERROR(IF(Setup!B44&lt;&gt;"",B37/C37,""),"")</f>
        <v/>
      </c>
      <c r="G37" s="50" t="str">
        <f>IF(Setup!B44&lt;&gt;"",MIN(D37,C37),"")</f>
        <v/>
      </c>
      <c r="H37" s="50" t="str">
        <f>IF(Setup!B44&lt;&gt;"",MAX(D37-C37,0),"")</f>
        <v/>
      </c>
      <c r="I37" s="19" t="str">
        <f>IF(Setup!B44&lt;&gt;"",F37*G37,"")</f>
        <v/>
      </c>
      <c r="J37" s="19" t="str">
        <f>IF(Setup!B44&lt;&gt;"",F37*H37*$B4,"")</f>
        <v/>
      </c>
      <c r="K37" s="19" t="str">
        <f>IF(Setup!B44&lt;&gt;"",IF(E37=0,$B5,0),"")</f>
        <v/>
      </c>
      <c r="L37" s="52" t="str">
        <f>IF(Setup!B44&lt;&gt;"",I37+J37+K37,"")</f>
        <v/>
      </c>
      <c r="M37" s="19" t="str">
        <f>IF(Setup!B44&lt;&gt;"",Payroll_Jun!P37,"")</f>
        <v/>
      </c>
      <c r="N37" s="46">
        <v>0</v>
      </c>
      <c r="O37" s="46">
        <v>0</v>
      </c>
      <c r="P37" s="52" t="str">
        <f>IF(Setup!B44&lt;&gt;"",M37+N37-O37,"")</f>
        <v/>
      </c>
      <c r="Q37" s="46">
        <v>0</v>
      </c>
      <c r="R37" s="47" t="str">
        <f>IF(Setup!B44&lt;&gt;"",L37-O37-Q37,"")</f>
        <v/>
      </c>
    </row>
    <row r="38" spans="1:18" ht="25.5" customHeight="1" x14ac:dyDescent="0.3">
      <c r="A38" s="55" t="s">
        <v>113</v>
      </c>
      <c r="B38" s="55"/>
      <c r="C38" s="17">
        <f>SUM(C8:C37)</f>
        <v>3024</v>
      </c>
      <c r="D38" s="36">
        <f>SUM(D8:D37)</f>
        <v>2233.15</v>
      </c>
      <c r="E38" s="17">
        <f>SUM(E8:E37)</f>
        <v>0</v>
      </c>
      <c r="F38" s="17"/>
      <c r="G38" s="36">
        <f t="shared" ref="G38:R38" si="0">SUM(G8:G37)</f>
        <v>2213.1</v>
      </c>
      <c r="H38" s="36">
        <f t="shared" si="0"/>
        <v>20.050000000000011</v>
      </c>
      <c r="I38" s="17">
        <f t="shared" si="0"/>
        <v>403395.83333333331</v>
      </c>
      <c r="J38" s="17">
        <f t="shared" si="0"/>
        <v>6228.4722222222254</v>
      </c>
      <c r="K38" s="17">
        <f t="shared" si="0"/>
        <v>0</v>
      </c>
      <c r="L38" s="17">
        <f t="shared" si="0"/>
        <v>409624.30555555556</v>
      </c>
      <c r="M38" s="17">
        <f t="shared" si="0"/>
        <v>73000</v>
      </c>
      <c r="N38" s="17">
        <f t="shared" si="0"/>
        <v>171000</v>
      </c>
      <c r="O38" s="17">
        <f t="shared" si="0"/>
        <v>151000</v>
      </c>
      <c r="P38" s="17">
        <f t="shared" si="0"/>
        <v>93000</v>
      </c>
      <c r="Q38" s="17">
        <f t="shared" si="0"/>
        <v>0</v>
      </c>
      <c r="R38" s="17">
        <f t="shared" si="0"/>
        <v>258624.30555555559</v>
      </c>
    </row>
    <row r="40" spans="1:18" ht="19.5" customHeight="1" x14ac:dyDescent="0.3">
      <c r="A40" s="56" t="s">
        <v>114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</sheetData>
  <mergeCells count="3">
    <mergeCell ref="A1:R1"/>
    <mergeCell ref="A38:B38"/>
    <mergeCell ref="A40:R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6600"/>
  </sheetPr>
  <dimension ref="A1:R40"/>
  <sheetViews>
    <sheetView showGridLines="0" zoomScaleNormal="100" workbookViewId="0">
      <pane ySplit="7" topLeftCell="A8" activePane="bottomLeft" state="frozen"/>
      <selection pane="bottomLeft" sqref="A1:R1"/>
    </sheetView>
  </sheetViews>
  <sheetFormatPr defaultColWidth="8.5546875" defaultRowHeight="14.4" x14ac:dyDescent="0.3"/>
  <cols>
    <col min="1" max="1" width="22" customWidth="1"/>
    <col min="2" max="2" width="15" customWidth="1"/>
    <col min="3" max="4" width="11" customWidth="1"/>
    <col min="5" max="5" width="10" customWidth="1"/>
    <col min="6" max="7" width="12" customWidth="1"/>
    <col min="8" max="8" width="10" customWidth="1"/>
    <col min="9" max="9" width="14" customWidth="1"/>
    <col min="10" max="10" width="13" customWidth="1"/>
    <col min="11" max="11" width="16" customWidth="1"/>
    <col min="12" max="12" width="14" customWidth="1"/>
    <col min="13" max="16" width="12" customWidth="1"/>
    <col min="17" max="17" width="15" customWidth="1"/>
    <col min="18" max="18" width="14" customWidth="1"/>
  </cols>
  <sheetData>
    <row r="1" spans="1:18" ht="31.5" customHeight="1" x14ac:dyDescent="0.3">
      <c r="A1" s="54" t="s">
        <v>127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1" t="s">
        <v>93</v>
      </c>
      <c r="B2" s="10" t="s">
        <v>128</v>
      </c>
    </row>
    <row r="3" spans="1:18" ht="19.5" customHeight="1" x14ac:dyDescent="0.3">
      <c r="A3" s="1" t="s">
        <v>95</v>
      </c>
      <c r="B3" s="10">
        <v>208</v>
      </c>
    </row>
    <row r="4" spans="1:18" ht="19.5" customHeight="1" x14ac:dyDescent="0.3">
      <c r="A4" s="1" t="s">
        <v>14</v>
      </c>
      <c r="B4" s="38">
        <f>Setup!B9</f>
        <v>1.5</v>
      </c>
    </row>
    <row r="5" spans="1:18" ht="19.5" customHeight="1" x14ac:dyDescent="0.3">
      <c r="A5" s="1" t="s">
        <v>16</v>
      </c>
      <c r="B5" s="12">
        <f>Setup!B10</f>
        <v>0</v>
      </c>
    </row>
    <row r="7" spans="1:18" ht="36" customHeight="1" x14ac:dyDescent="0.3">
      <c r="A7" s="39" t="s">
        <v>37</v>
      </c>
      <c r="B7" s="39" t="s">
        <v>96</v>
      </c>
      <c r="C7" s="39" t="s">
        <v>97</v>
      </c>
      <c r="D7" s="39" t="s">
        <v>98</v>
      </c>
      <c r="E7" s="39" t="s">
        <v>99</v>
      </c>
      <c r="F7" s="39" t="s">
        <v>100</v>
      </c>
      <c r="G7" s="39" t="s">
        <v>101</v>
      </c>
      <c r="H7" s="39" t="s">
        <v>102</v>
      </c>
      <c r="I7" s="21" t="s">
        <v>103</v>
      </c>
      <c r="J7" s="21" t="s">
        <v>104</v>
      </c>
      <c r="K7" s="21" t="s">
        <v>105</v>
      </c>
      <c r="L7" s="21" t="s">
        <v>106</v>
      </c>
      <c r="M7" s="21" t="s">
        <v>107</v>
      </c>
      <c r="N7" s="21" t="s">
        <v>108</v>
      </c>
      <c r="O7" s="21" t="s">
        <v>109</v>
      </c>
      <c r="P7" s="21" t="s">
        <v>110</v>
      </c>
      <c r="Q7" s="21" t="s">
        <v>111</v>
      </c>
      <c r="R7" s="21" t="s">
        <v>112</v>
      </c>
    </row>
    <row r="8" spans="1:18" ht="21.75" customHeight="1" x14ac:dyDescent="0.3">
      <c r="A8" s="1" t="str">
        <f>Setup!B15</f>
        <v>Sheraz</v>
      </c>
      <c r="B8" s="40">
        <f>IF(Setup!B15&lt;&gt;"",Setup!C15,"")</f>
        <v>38000</v>
      </c>
      <c r="C8" s="41">
        <f>IF(Setup!B15&lt;&gt;"",$B3,"")</f>
        <v>208</v>
      </c>
      <c r="D8" s="42">
        <f>IF(Setup!B15&lt;&gt;"",Attendance_Aug!E39,"")</f>
        <v>0</v>
      </c>
      <c r="E8" s="41">
        <f>IF(Setup!B15&lt;&gt;"",Attendance_Aug!E40,"")</f>
        <v>0</v>
      </c>
      <c r="F8" s="43">
        <f>IFERROR(IF(Setup!B15&lt;&gt;"",B8/C8,""),"")</f>
        <v>182.69230769230768</v>
      </c>
      <c r="G8" s="42">
        <f>IF(Setup!B15&lt;&gt;"",MIN(D8,C8),"")</f>
        <v>0</v>
      </c>
      <c r="H8" s="42">
        <f>IF(Setup!B15&lt;&gt;"",MAX(D8-C8,0),"")</f>
        <v>0</v>
      </c>
      <c r="I8" s="16">
        <f>IF(Setup!B15&lt;&gt;"",F8*G8,"")</f>
        <v>0</v>
      </c>
      <c r="J8" s="16">
        <f>IF(Setup!B15&lt;&gt;"",F8*H8*$B4,"")</f>
        <v>0</v>
      </c>
      <c r="K8" s="16">
        <f>IF(Setup!B15&lt;&gt;"",IF(E8=0,$B5,0),"")</f>
        <v>0</v>
      </c>
      <c r="L8" s="44">
        <f>IF(Setup!B15&lt;&gt;"",I8+J8+K8,"")</f>
        <v>0</v>
      </c>
      <c r="M8" s="16">
        <f>IF(Setup!B15&lt;&gt;"",Payroll_Jul!P8,"")</f>
        <v>40000</v>
      </c>
      <c r="N8" s="46">
        <v>0</v>
      </c>
      <c r="O8" s="46">
        <v>0</v>
      </c>
      <c r="P8" s="44">
        <f>IF(Setup!B15&lt;&gt;"",M8+N8-O8,"")</f>
        <v>40000</v>
      </c>
      <c r="Q8" s="46">
        <v>0</v>
      </c>
      <c r="R8" s="47">
        <f>IF(Setup!B15&lt;&gt;"",L8-O8-Q8,"")</f>
        <v>0</v>
      </c>
    </row>
    <row r="9" spans="1:18" ht="21.75" customHeight="1" x14ac:dyDescent="0.3">
      <c r="A9" s="18" t="str">
        <f>Setup!B16</f>
        <v>Zain</v>
      </c>
      <c r="B9" s="48">
        <f>IF(Setup!B16&lt;&gt;"",Setup!C16,"")</f>
        <v>53000</v>
      </c>
      <c r="C9" s="49">
        <f>IF(Setup!B16&lt;&gt;"",$B3,"")</f>
        <v>208</v>
      </c>
      <c r="D9" s="50">
        <f>IF(Setup!B16&lt;&gt;"",Attendance_Aug!F39,"")</f>
        <v>0</v>
      </c>
      <c r="E9" s="49">
        <f>IF(Setup!B16&lt;&gt;"",Attendance_Aug!F40,"")</f>
        <v>0</v>
      </c>
      <c r="F9" s="51">
        <f>IFERROR(IF(Setup!B16&lt;&gt;"",B9/C9,""),"")</f>
        <v>254.80769230769232</v>
      </c>
      <c r="G9" s="50">
        <f>IF(Setup!B16&lt;&gt;"",MIN(D9,C9),"")</f>
        <v>0</v>
      </c>
      <c r="H9" s="50">
        <f>IF(Setup!B16&lt;&gt;"",MAX(D9-C9,0),"")</f>
        <v>0</v>
      </c>
      <c r="I9" s="19">
        <f>IF(Setup!B16&lt;&gt;"",F9*G9,"")</f>
        <v>0</v>
      </c>
      <c r="J9" s="19">
        <f>IF(Setup!B16&lt;&gt;"",F9*H9*$B4,"")</f>
        <v>0</v>
      </c>
      <c r="K9" s="19">
        <f>IF(Setup!B16&lt;&gt;"",IF(E9=0,$B5,0),"")</f>
        <v>0</v>
      </c>
      <c r="L9" s="52">
        <f>IF(Setup!B16&lt;&gt;"",I9+J9+K9,"")</f>
        <v>0</v>
      </c>
      <c r="M9" s="19">
        <f>IF(Setup!B16&lt;&gt;"",Payroll_Jul!P9,"")</f>
        <v>0</v>
      </c>
      <c r="N9" s="46">
        <v>0</v>
      </c>
      <c r="O9" s="46">
        <v>0</v>
      </c>
      <c r="P9" s="52">
        <f>IF(Setup!B16&lt;&gt;"",M9+N9-O9,"")</f>
        <v>0</v>
      </c>
      <c r="Q9" s="46">
        <v>0</v>
      </c>
      <c r="R9" s="47">
        <f>IF(Setup!B16&lt;&gt;"",L9-O9-Q9,"")</f>
        <v>0</v>
      </c>
    </row>
    <row r="10" spans="1:18" ht="21.75" customHeight="1" x14ac:dyDescent="0.3">
      <c r="A10" s="1" t="str">
        <f>Setup!B17</f>
        <v>Yousaf</v>
      </c>
      <c r="B10" s="40">
        <f>IF(Setup!B17&lt;&gt;"",Setup!C17,"")</f>
        <v>28000</v>
      </c>
      <c r="C10" s="41">
        <f>IF(Setup!B17&lt;&gt;"",$B3,"")</f>
        <v>208</v>
      </c>
      <c r="D10" s="42">
        <f>IF(Setup!B17&lt;&gt;"",Attendance_Aug!G39,"")</f>
        <v>0</v>
      </c>
      <c r="E10" s="41">
        <f>IF(Setup!B17&lt;&gt;"",Attendance_Aug!G40,"")</f>
        <v>0</v>
      </c>
      <c r="F10" s="43">
        <f>IFERROR(IF(Setup!B17&lt;&gt;"",B10/C10,""),"")</f>
        <v>134.61538461538461</v>
      </c>
      <c r="G10" s="42">
        <f>IF(Setup!B17&lt;&gt;"",MIN(D10,C10),"")</f>
        <v>0</v>
      </c>
      <c r="H10" s="42">
        <f>IF(Setup!B17&lt;&gt;"",MAX(D10-C10,0),"")</f>
        <v>0</v>
      </c>
      <c r="I10" s="16">
        <f>IF(Setup!B17&lt;&gt;"",F10*G10,"")</f>
        <v>0</v>
      </c>
      <c r="J10" s="16">
        <f>IF(Setup!B17&lt;&gt;"",F10*H10*$B4,"")</f>
        <v>0</v>
      </c>
      <c r="K10" s="16">
        <f>IF(Setup!B17&lt;&gt;"",IF(E10=0,$B5,0),"")</f>
        <v>0</v>
      </c>
      <c r="L10" s="44">
        <f>IF(Setup!B17&lt;&gt;"",I10+J10+K10,"")</f>
        <v>0</v>
      </c>
      <c r="M10" s="16">
        <f>IF(Setup!B17&lt;&gt;"",Payroll_Jul!P10,"")</f>
        <v>0</v>
      </c>
      <c r="N10" s="46">
        <v>0</v>
      </c>
      <c r="O10" s="46">
        <v>0</v>
      </c>
      <c r="P10" s="44">
        <f>IF(Setup!B17&lt;&gt;"",M10+N10-O10,"")</f>
        <v>0</v>
      </c>
      <c r="Q10" s="46">
        <v>0</v>
      </c>
      <c r="R10" s="47">
        <f>IF(Setup!B17&lt;&gt;"",L10-O10-Q10,"")</f>
        <v>0</v>
      </c>
    </row>
    <row r="11" spans="1:18" ht="21.75" customHeight="1" x14ac:dyDescent="0.3">
      <c r="A11" s="18" t="str">
        <f>Setup!B18</f>
        <v>Hamza</v>
      </c>
      <c r="B11" s="48">
        <f>IF(Setup!B18&lt;&gt;"",Setup!C18,"")</f>
        <v>25000</v>
      </c>
      <c r="C11" s="49">
        <f>IF(Setup!B18&lt;&gt;"",$B3,"")</f>
        <v>208</v>
      </c>
      <c r="D11" s="50">
        <f>IF(Setup!B18&lt;&gt;"",Attendance_Aug!H39,"")</f>
        <v>0</v>
      </c>
      <c r="E11" s="49">
        <f>IF(Setup!B18&lt;&gt;"",Attendance_Aug!H40,"")</f>
        <v>0</v>
      </c>
      <c r="F11" s="51">
        <f>IFERROR(IF(Setup!B18&lt;&gt;"",B11/C11,""),"")</f>
        <v>120.19230769230769</v>
      </c>
      <c r="G11" s="50">
        <f>IF(Setup!B18&lt;&gt;"",MIN(D11,C11),"")</f>
        <v>0</v>
      </c>
      <c r="H11" s="50">
        <f>IF(Setup!B18&lt;&gt;"",MAX(D11-C11,0),"")</f>
        <v>0</v>
      </c>
      <c r="I11" s="19">
        <f>IF(Setup!B18&lt;&gt;"",F11*G11,"")</f>
        <v>0</v>
      </c>
      <c r="J11" s="19">
        <f>IF(Setup!B18&lt;&gt;"",F11*H11*$B4,"")</f>
        <v>0</v>
      </c>
      <c r="K11" s="19">
        <f>IF(Setup!B18&lt;&gt;"",IF(E11=0,$B5,0),"")</f>
        <v>0</v>
      </c>
      <c r="L11" s="52">
        <f>IF(Setup!B18&lt;&gt;"",I11+J11+K11,"")</f>
        <v>0</v>
      </c>
      <c r="M11" s="19">
        <f>IF(Setup!B18&lt;&gt;"",Payroll_Jul!P11,"")</f>
        <v>18000</v>
      </c>
      <c r="N11" s="46">
        <v>0</v>
      </c>
      <c r="O11" s="46">
        <v>0</v>
      </c>
      <c r="P11" s="52">
        <f>IF(Setup!B18&lt;&gt;"",M11+N11-O11,"")</f>
        <v>18000</v>
      </c>
      <c r="Q11" s="46">
        <v>0</v>
      </c>
      <c r="R11" s="47">
        <f>IF(Setup!B18&lt;&gt;"",L11-O11-Q11,"")</f>
        <v>0</v>
      </c>
    </row>
    <row r="12" spans="1:18" ht="21.75" customHeight="1" x14ac:dyDescent="0.3">
      <c r="A12" s="1" t="str">
        <f>Setup!B19</f>
        <v>Amjad</v>
      </c>
      <c r="B12" s="40">
        <f>IF(Setup!B19&lt;&gt;"",Setup!C19,"")</f>
        <v>25000</v>
      </c>
      <c r="C12" s="41">
        <f>IF(Setup!B19&lt;&gt;"",$B3,"")</f>
        <v>208</v>
      </c>
      <c r="D12" s="42">
        <f>IF(Setup!B19&lt;&gt;"",Attendance_Aug!I39,"")</f>
        <v>0</v>
      </c>
      <c r="E12" s="41">
        <f>IF(Setup!B19&lt;&gt;"",Attendance_Aug!I40,"")</f>
        <v>0</v>
      </c>
      <c r="F12" s="43">
        <f>IFERROR(IF(Setup!B19&lt;&gt;"",B12/C12,""),"")</f>
        <v>120.19230769230769</v>
      </c>
      <c r="G12" s="42">
        <f>IF(Setup!B19&lt;&gt;"",MIN(D12,C12),"")</f>
        <v>0</v>
      </c>
      <c r="H12" s="42">
        <f>IF(Setup!B19&lt;&gt;"",MAX(D12-C12,0),"")</f>
        <v>0</v>
      </c>
      <c r="I12" s="16">
        <f>IF(Setup!B19&lt;&gt;"",F12*G12,"")</f>
        <v>0</v>
      </c>
      <c r="J12" s="16">
        <f>IF(Setup!B19&lt;&gt;"",F12*H12*$B4,"")</f>
        <v>0</v>
      </c>
      <c r="K12" s="16">
        <f>IF(Setup!B19&lt;&gt;"",IF(E12=0,$B5,0),"")</f>
        <v>0</v>
      </c>
      <c r="L12" s="44">
        <f>IF(Setup!B19&lt;&gt;"",I12+J12+K12,"")</f>
        <v>0</v>
      </c>
      <c r="M12" s="16">
        <f>IF(Setup!B19&lt;&gt;"",Payroll_Jul!P12,"")</f>
        <v>5000</v>
      </c>
      <c r="N12" s="46">
        <v>0</v>
      </c>
      <c r="O12" s="46">
        <v>0</v>
      </c>
      <c r="P12" s="44">
        <f>IF(Setup!B19&lt;&gt;"",M12+N12-O12,"")</f>
        <v>5000</v>
      </c>
      <c r="Q12" s="46">
        <v>0</v>
      </c>
      <c r="R12" s="47">
        <f>IF(Setup!B19&lt;&gt;"",L12-O12-Q12,"")</f>
        <v>0</v>
      </c>
    </row>
    <row r="13" spans="1:18" ht="21.75" customHeight="1" x14ac:dyDescent="0.3">
      <c r="A13" s="18" t="str">
        <f>Setup!B20</f>
        <v>Tanveer</v>
      </c>
      <c r="B13" s="48">
        <f>IF(Setup!B20&lt;&gt;"",Setup!C20,"")</f>
        <v>25000</v>
      </c>
      <c r="C13" s="49">
        <f>IF(Setup!B20&lt;&gt;"",$B3,"")</f>
        <v>208</v>
      </c>
      <c r="D13" s="50">
        <f>IF(Setup!B20&lt;&gt;"",Attendance_Aug!J39,"")</f>
        <v>0</v>
      </c>
      <c r="E13" s="49">
        <f>IF(Setup!B20&lt;&gt;"",Attendance_Aug!J40,"")</f>
        <v>0</v>
      </c>
      <c r="F13" s="51">
        <f>IFERROR(IF(Setup!B20&lt;&gt;"",B13/C13,""),"")</f>
        <v>120.19230769230769</v>
      </c>
      <c r="G13" s="50">
        <f>IF(Setup!B20&lt;&gt;"",MIN(D13,C13),"")</f>
        <v>0</v>
      </c>
      <c r="H13" s="50">
        <f>IF(Setup!B20&lt;&gt;"",MAX(D13-C13,0),"")</f>
        <v>0</v>
      </c>
      <c r="I13" s="19">
        <f>IF(Setup!B20&lt;&gt;"",F13*G13,"")</f>
        <v>0</v>
      </c>
      <c r="J13" s="19">
        <f>IF(Setup!B20&lt;&gt;"",F13*H13*$B4,"")</f>
        <v>0</v>
      </c>
      <c r="K13" s="19">
        <f>IF(Setup!B20&lt;&gt;"",IF(E13=0,$B5,0),"")</f>
        <v>0</v>
      </c>
      <c r="L13" s="52">
        <f>IF(Setup!B20&lt;&gt;"",I13+J13+K13,"")</f>
        <v>0</v>
      </c>
      <c r="M13" s="19">
        <f>IF(Setup!B20&lt;&gt;"",Payroll_Jul!P13,"")</f>
        <v>10000</v>
      </c>
      <c r="N13" s="46">
        <v>0</v>
      </c>
      <c r="O13" s="46">
        <v>0</v>
      </c>
      <c r="P13" s="52">
        <f>IF(Setup!B20&lt;&gt;"",M13+N13-O13,"")</f>
        <v>10000</v>
      </c>
      <c r="Q13" s="46">
        <v>0</v>
      </c>
      <c r="R13" s="47">
        <f>IF(Setup!B20&lt;&gt;"",L13-O13-Q13,"")</f>
        <v>0</v>
      </c>
    </row>
    <row r="14" spans="1:18" ht="21.75" customHeight="1" x14ac:dyDescent="0.3">
      <c r="A14" s="1" t="str">
        <f>Setup!B21</f>
        <v>Ali Zaman</v>
      </c>
      <c r="B14" s="40">
        <f>IF(Setup!B21&lt;&gt;"",Setup!C21,"")</f>
        <v>75000</v>
      </c>
      <c r="C14" s="41">
        <f>IF(Setup!B21&lt;&gt;"",$B3,"")</f>
        <v>208</v>
      </c>
      <c r="D14" s="42">
        <f>IF(Setup!B21&lt;&gt;"",Attendance_Aug!K39,"")</f>
        <v>0</v>
      </c>
      <c r="E14" s="41">
        <f>IF(Setup!B21&lt;&gt;"",Attendance_Aug!K40,"")</f>
        <v>0</v>
      </c>
      <c r="F14" s="43">
        <f>IFERROR(IF(Setup!B21&lt;&gt;"",B14/C14,""),"")</f>
        <v>360.57692307692309</v>
      </c>
      <c r="G14" s="42">
        <f>IF(Setup!B21&lt;&gt;"",MIN(D14,C14),"")</f>
        <v>0</v>
      </c>
      <c r="H14" s="42">
        <f>IF(Setup!B21&lt;&gt;"",MAX(D14-C14,0),"")</f>
        <v>0</v>
      </c>
      <c r="I14" s="16">
        <f>IF(Setup!B21&lt;&gt;"",F14*G14,"")</f>
        <v>0</v>
      </c>
      <c r="J14" s="16">
        <f>IF(Setup!B21&lt;&gt;"",F14*H14*$B4,"")</f>
        <v>0</v>
      </c>
      <c r="K14" s="16">
        <f>IF(Setup!B21&lt;&gt;"",IF(E14=0,$B5,0),"")</f>
        <v>0</v>
      </c>
      <c r="L14" s="44">
        <f>IF(Setup!B21&lt;&gt;"",I14+J14+K14,"")</f>
        <v>0</v>
      </c>
      <c r="M14" s="16">
        <f>IF(Setup!B21&lt;&gt;"",Payroll_Jul!P14,"")</f>
        <v>20000</v>
      </c>
      <c r="N14" s="46">
        <v>0</v>
      </c>
      <c r="O14" s="46">
        <v>0</v>
      </c>
      <c r="P14" s="44">
        <f>IF(Setup!B21&lt;&gt;"",M14+N14-O14,"")</f>
        <v>20000</v>
      </c>
      <c r="Q14" s="46">
        <v>0</v>
      </c>
      <c r="R14" s="47">
        <f>IF(Setup!B21&lt;&gt;"",L14-O14-Q14,"")</f>
        <v>0</v>
      </c>
    </row>
    <row r="15" spans="1:18" ht="21.75" customHeight="1" x14ac:dyDescent="0.3">
      <c r="A15" s="18" t="str">
        <f>Setup!B22</f>
        <v>Awais Ali</v>
      </c>
      <c r="B15" s="48">
        <f>IF(Setup!B22&lt;&gt;"",Setup!C22,"")</f>
        <v>25000</v>
      </c>
      <c r="C15" s="49">
        <f>IF(Setup!B22&lt;&gt;"",$B3,"")</f>
        <v>208</v>
      </c>
      <c r="D15" s="50">
        <f>IF(Setup!B22&lt;&gt;"",Attendance_Aug!L39,"")</f>
        <v>0</v>
      </c>
      <c r="E15" s="49">
        <f>IF(Setup!B22&lt;&gt;"",Attendance_Aug!L40,"")</f>
        <v>0</v>
      </c>
      <c r="F15" s="51">
        <f>IFERROR(IF(Setup!B22&lt;&gt;"",B15/C15,""),"")</f>
        <v>120.19230769230769</v>
      </c>
      <c r="G15" s="50">
        <f>IF(Setup!B22&lt;&gt;"",MIN(D15,C15),"")</f>
        <v>0</v>
      </c>
      <c r="H15" s="50">
        <f>IF(Setup!B22&lt;&gt;"",MAX(D15-C15,0),"")</f>
        <v>0</v>
      </c>
      <c r="I15" s="19">
        <f>IF(Setup!B22&lt;&gt;"",F15*G15,"")</f>
        <v>0</v>
      </c>
      <c r="J15" s="19">
        <f>IF(Setup!B22&lt;&gt;"",F15*H15*$B4,"")</f>
        <v>0</v>
      </c>
      <c r="K15" s="19">
        <f>IF(Setup!B22&lt;&gt;"",IF(E15=0,$B5,0),"")</f>
        <v>0</v>
      </c>
      <c r="L15" s="52">
        <f>IF(Setup!B22&lt;&gt;"",I15+J15+K15,"")</f>
        <v>0</v>
      </c>
      <c r="M15" s="19">
        <f>IF(Setup!B22&lt;&gt;"",Payroll_Jul!P15,"")</f>
        <v>0</v>
      </c>
      <c r="N15" s="46">
        <v>0</v>
      </c>
      <c r="O15" s="46">
        <v>0</v>
      </c>
      <c r="P15" s="52">
        <f>IF(Setup!B22&lt;&gt;"",M15+N15-O15,"")</f>
        <v>0</v>
      </c>
      <c r="Q15" s="46">
        <v>0</v>
      </c>
      <c r="R15" s="47">
        <f>IF(Setup!B22&lt;&gt;"",L15-O15-Q15,"")</f>
        <v>0</v>
      </c>
    </row>
    <row r="16" spans="1:18" ht="21.75" customHeight="1" x14ac:dyDescent="0.3">
      <c r="A16" s="1" t="str">
        <f>Setup!B23</f>
        <v>Ishtiaq</v>
      </c>
      <c r="B16" s="40">
        <f>IF(Setup!B23&lt;&gt;"",Setup!C23,"")</f>
        <v>25000</v>
      </c>
      <c r="C16" s="41">
        <f>IF(Setup!B23&lt;&gt;"",$B3,"")</f>
        <v>208</v>
      </c>
      <c r="D16" s="42">
        <f>IF(Setup!B23&lt;&gt;"",Attendance_Aug!M39,"")</f>
        <v>0</v>
      </c>
      <c r="E16" s="41">
        <f>IF(Setup!B23&lt;&gt;"",Attendance_Aug!M40,"")</f>
        <v>0</v>
      </c>
      <c r="F16" s="43">
        <f>IFERROR(IF(Setup!B23&lt;&gt;"",B16/C16,""),"")</f>
        <v>120.19230769230769</v>
      </c>
      <c r="G16" s="42">
        <f>IF(Setup!B23&lt;&gt;"",MIN(D16,C16),"")</f>
        <v>0</v>
      </c>
      <c r="H16" s="42">
        <f>IF(Setup!B23&lt;&gt;"",MAX(D16-C16,0),"")</f>
        <v>0</v>
      </c>
      <c r="I16" s="16">
        <f>IF(Setup!B23&lt;&gt;"",F16*G16,"")</f>
        <v>0</v>
      </c>
      <c r="J16" s="16">
        <f>IF(Setup!B23&lt;&gt;"",F16*H16*$B4,"")</f>
        <v>0</v>
      </c>
      <c r="K16" s="16">
        <f>IF(Setup!B23&lt;&gt;"",IF(E16=0,$B5,0),"")</f>
        <v>0</v>
      </c>
      <c r="L16" s="44">
        <f>IF(Setup!B23&lt;&gt;"",I16+J16+K16,"")</f>
        <v>0</v>
      </c>
      <c r="M16" s="16">
        <f>IF(Setup!B23&lt;&gt;"",Payroll_Jul!P16,"")</f>
        <v>0</v>
      </c>
      <c r="N16" s="46">
        <v>0</v>
      </c>
      <c r="O16" s="46">
        <v>0</v>
      </c>
      <c r="P16" s="44">
        <f>IF(Setup!B23&lt;&gt;"",M16+N16-O16,"")</f>
        <v>0</v>
      </c>
      <c r="Q16" s="46">
        <v>0</v>
      </c>
      <c r="R16" s="47">
        <f>IF(Setup!B23&lt;&gt;"",L16-O16-Q16,"")</f>
        <v>0</v>
      </c>
    </row>
    <row r="17" spans="1:18" ht="21.75" customHeight="1" x14ac:dyDescent="0.3">
      <c r="A17" s="18" t="str">
        <f>Setup!B24</f>
        <v>Usama bhai</v>
      </c>
      <c r="B17" s="48">
        <f>IF(Setup!B24&lt;&gt;"",Setup!C24,"")</f>
        <v>50000</v>
      </c>
      <c r="C17" s="49">
        <f>IF(Setup!B24&lt;&gt;"",$B3,"")</f>
        <v>208</v>
      </c>
      <c r="D17" s="50">
        <f>IF(Setup!B24&lt;&gt;"",Attendance_Aug!N39,"")</f>
        <v>0</v>
      </c>
      <c r="E17" s="49">
        <f>IF(Setup!B24&lt;&gt;"",Attendance_Aug!N40,"")</f>
        <v>0</v>
      </c>
      <c r="F17" s="51">
        <f>IFERROR(IF(Setup!B24&lt;&gt;"",B17/C17,""),"")</f>
        <v>240.38461538461539</v>
      </c>
      <c r="G17" s="50">
        <f>IF(Setup!B24&lt;&gt;"",MIN(D17,C17),"")</f>
        <v>0</v>
      </c>
      <c r="H17" s="50">
        <f>IF(Setup!B24&lt;&gt;"",MAX(D17-C17,0),"")</f>
        <v>0</v>
      </c>
      <c r="I17" s="19">
        <f>IF(Setup!B24&lt;&gt;"",F17*G17,"")</f>
        <v>0</v>
      </c>
      <c r="J17" s="19">
        <f>IF(Setup!B24&lt;&gt;"",F17*H17*$B4,"")</f>
        <v>0</v>
      </c>
      <c r="K17" s="19">
        <f>IF(Setup!B24&lt;&gt;"",IF(E17=0,$B5,0),"")</f>
        <v>0</v>
      </c>
      <c r="L17" s="52">
        <f>IF(Setup!B24&lt;&gt;"",I17+J17+K17,"")</f>
        <v>0</v>
      </c>
      <c r="M17" s="19">
        <f>IF(Setup!B24&lt;&gt;"",Payroll_Jul!P17,"")</f>
        <v>0</v>
      </c>
      <c r="N17" s="46">
        <v>0</v>
      </c>
      <c r="O17" s="46">
        <v>0</v>
      </c>
      <c r="P17" s="52">
        <f>IF(Setup!B24&lt;&gt;"",M17+N17-O17,"")</f>
        <v>0</v>
      </c>
      <c r="Q17" s="46">
        <v>0</v>
      </c>
      <c r="R17" s="47">
        <f>IF(Setup!B24&lt;&gt;"",L17-O17-Q17,"")</f>
        <v>0</v>
      </c>
    </row>
    <row r="18" spans="1:18" ht="21.75" customHeight="1" x14ac:dyDescent="0.3">
      <c r="A18" s="1" t="str">
        <f>Setup!B25</f>
        <v>Ahtisham</v>
      </c>
      <c r="B18" s="40">
        <f>IF(Setup!B25&lt;&gt;"",Setup!C25,"")</f>
        <v>10000</v>
      </c>
      <c r="C18" s="41">
        <f>IF(Setup!B25&lt;&gt;"",$B3,"")</f>
        <v>208</v>
      </c>
      <c r="D18" s="42">
        <f>IF(Setup!B25&lt;&gt;"",Attendance_Aug!O39,"")</f>
        <v>0</v>
      </c>
      <c r="E18" s="41">
        <f>IF(Setup!B25&lt;&gt;"",Attendance_Aug!O40,"")</f>
        <v>0</v>
      </c>
      <c r="F18" s="43">
        <f>IFERROR(IF(Setup!B25&lt;&gt;"",B18/C18,""),"")</f>
        <v>48.07692307692308</v>
      </c>
      <c r="G18" s="42">
        <f>IF(Setup!B25&lt;&gt;"",MIN(D18,C18),"")</f>
        <v>0</v>
      </c>
      <c r="H18" s="42">
        <f>IF(Setup!B25&lt;&gt;"",MAX(D18-C18,0),"")</f>
        <v>0</v>
      </c>
      <c r="I18" s="16">
        <f>IF(Setup!B25&lt;&gt;"",F18*G18,"")</f>
        <v>0</v>
      </c>
      <c r="J18" s="16">
        <f>IF(Setup!B25&lt;&gt;"",F18*H18*$B4,"")</f>
        <v>0</v>
      </c>
      <c r="K18" s="16">
        <f>IF(Setup!B25&lt;&gt;"",IF(E18=0,$B5,0),"")</f>
        <v>0</v>
      </c>
      <c r="L18" s="44">
        <f>IF(Setup!B25&lt;&gt;"",I18+J18+K18,"")</f>
        <v>0</v>
      </c>
      <c r="M18" s="16">
        <f>IF(Setup!B25&lt;&gt;"",Payroll_Jul!P18,"")</f>
        <v>0</v>
      </c>
      <c r="N18" s="46">
        <v>0</v>
      </c>
      <c r="O18" s="46">
        <v>0</v>
      </c>
      <c r="P18" s="44">
        <f>IF(Setup!B25&lt;&gt;"",M18+N18-O18,"")</f>
        <v>0</v>
      </c>
      <c r="Q18" s="46">
        <v>0</v>
      </c>
      <c r="R18" s="47">
        <f>IF(Setup!B25&lt;&gt;"",L18-O18-Q18,"")</f>
        <v>0</v>
      </c>
    </row>
    <row r="19" spans="1:18" ht="21.75" customHeight="1" x14ac:dyDescent="0.3">
      <c r="A19" s="18" t="str">
        <f>Setup!B26</f>
        <v>Factory rent</v>
      </c>
      <c r="B19" s="48">
        <f>IF(Setup!B26&lt;&gt;"",Setup!C26,"")</f>
        <v>77000</v>
      </c>
      <c r="C19" s="49">
        <f>IF(Setup!B26&lt;&gt;"",$B3,"")</f>
        <v>208</v>
      </c>
      <c r="D19" s="50">
        <f>IF(Setup!B26&lt;&gt;"",Attendance_Aug!P39,"")</f>
        <v>0</v>
      </c>
      <c r="E19" s="49">
        <f>IF(Setup!B26&lt;&gt;"",Attendance_Aug!P40,"")</f>
        <v>0</v>
      </c>
      <c r="F19" s="51">
        <f>IFERROR(IF(Setup!B26&lt;&gt;"",B19/C19,""),"")</f>
        <v>370.19230769230768</v>
      </c>
      <c r="G19" s="50">
        <f>IF(Setup!B26&lt;&gt;"",MIN(D19,C19),"")</f>
        <v>0</v>
      </c>
      <c r="H19" s="50">
        <f>IF(Setup!B26&lt;&gt;"",MAX(D19-C19,0),"")</f>
        <v>0</v>
      </c>
      <c r="I19" s="19">
        <f>IF(Setup!B26&lt;&gt;"",F19*G19,"")</f>
        <v>0</v>
      </c>
      <c r="J19" s="19">
        <f>IF(Setup!B26&lt;&gt;"",F19*H19*$B4,"")</f>
        <v>0</v>
      </c>
      <c r="K19" s="19">
        <f>IF(Setup!B26&lt;&gt;"",IF(E19=0,$B5,0),"")</f>
        <v>0</v>
      </c>
      <c r="L19" s="52">
        <f>IF(Setup!B26&lt;&gt;"",I19+J19+K19,"")</f>
        <v>0</v>
      </c>
      <c r="M19" s="19">
        <f>IF(Setup!B26&lt;&gt;"",Payroll_Jul!P19,"")</f>
        <v>0</v>
      </c>
      <c r="N19" s="46">
        <v>0</v>
      </c>
      <c r="O19" s="46">
        <v>0</v>
      </c>
      <c r="P19" s="52">
        <f>IF(Setup!B26&lt;&gt;"",M19+N19-O19,"")</f>
        <v>0</v>
      </c>
      <c r="Q19" s="46">
        <v>0</v>
      </c>
      <c r="R19" s="47">
        <f>IF(Setup!B26&lt;&gt;"",L19-O19-Q19,"")</f>
        <v>0</v>
      </c>
    </row>
    <row r="20" spans="1:18" ht="21.75" customHeight="1" x14ac:dyDescent="0.3">
      <c r="A20" s="1" t="str">
        <f>Setup!B27</f>
        <v>Internet bill</v>
      </c>
      <c r="B20" s="40">
        <f>IF(Setup!B27&lt;&gt;"",Setup!C27,"")</f>
        <v>2500</v>
      </c>
      <c r="C20" s="41">
        <f>IF(Setup!B27&lt;&gt;"",$B3,"")</f>
        <v>208</v>
      </c>
      <c r="D20" s="42">
        <f>IF(Setup!B27&lt;&gt;"",Attendance_Aug!Q39,"")</f>
        <v>0</v>
      </c>
      <c r="E20" s="41">
        <f>IF(Setup!B27&lt;&gt;"",Attendance_Aug!Q40,"")</f>
        <v>0</v>
      </c>
      <c r="F20" s="43">
        <f>IFERROR(IF(Setup!B27&lt;&gt;"",B20/C20,""),"")</f>
        <v>12.01923076923077</v>
      </c>
      <c r="G20" s="42">
        <f>IF(Setup!B27&lt;&gt;"",MIN(D20,C20),"")</f>
        <v>0</v>
      </c>
      <c r="H20" s="42">
        <f>IF(Setup!B27&lt;&gt;"",MAX(D20-C20,0),"")</f>
        <v>0</v>
      </c>
      <c r="I20" s="16">
        <f>IF(Setup!B27&lt;&gt;"",F20*G20,"")</f>
        <v>0</v>
      </c>
      <c r="J20" s="16">
        <f>IF(Setup!B27&lt;&gt;"",F20*H20*$B4,"")</f>
        <v>0</v>
      </c>
      <c r="K20" s="16">
        <f>IF(Setup!B27&lt;&gt;"",IF(E20=0,$B5,0),"")</f>
        <v>0</v>
      </c>
      <c r="L20" s="44">
        <f>IF(Setup!B27&lt;&gt;"",I20+J20+K20,"")</f>
        <v>0</v>
      </c>
      <c r="M20" s="16">
        <f>IF(Setup!B27&lt;&gt;"",Payroll_Jul!P20,"")</f>
        <v>0</v>
      </c>
      <c r="N20" s="46">
        <v>0</v>
      </c>
      <c r="O20" s="46">
        <v>0</v>
      </c>
      <c r="P20" s="44">
        <f>IF(Setup!B27&lt;&gt;"",M20+N20-O20,"")</f>
        <v>0</v>
      </c>
      <c r="Q20" s="46">
        <v>0</v>
      </c>
      <c r="R20" s="47">
        <f>IF(Setup!B27&lt;&gt;"",L20-O20-Q20,"")</f>
        <v>0</v>
      </c>
    </row>
    <row r="21" spans="1:18" ht="21.75" customHeight="1" x14ac:dyDescent="0.3">
      <c r="A21" s="18" t="str">
        <f>Setup!B28</f>
        <v>Saqab</v>
      </c>
      <c r="B21" s="48">
        <f>IF(Setup!B28&lt;&gt;"",Setup!C28,"")</f>
        <v>25000</v>
      </c>
      <c r="C21" s="49">
        <f>IF(Setup!B28&lt;&gt;"",$B3,"")</f>
        <v>208</v>
      </c>
      <c r="D21" s="50">
        <f>IF(Setup!B28&lt;&gt;"",Attendance_Aug!R39,"")</f>
        <v>0</v>
      </c>
      <c r="E21" s="49">
        <f>IF(Setup!B28&lt;&gt;"",Attendance_Aug!R40,"")</f>
        <v>0</v>
      </c>
      <c r="F21" s="51">
        <f>IFERROR(IF(Setup!B28&lt;&gt;"",B21/C21,""),"")</f>
        <v>120.19230769230769</v>
      </c>
      <c r="G21" s="50">
        <f>IF(Setup!B28&lt;&gt;"",MIN(D21,C21),"")</f>
        <v>0</v>
      </c>
      <c r="H21" s="50">
        <f>IF(Setup!B28&lt;&gt;"",MAX(D21-C21,0),"")</f>
        <v>0</v>
      </c>
      <c r="I21" s="19">
        <f>IF(Setup!B28&lt;&gt;"",F21*G21,"")</f>
        <v>0</v>
      </c>
      <c r="J21" s="19">
        <f>IF(Setup!B28&lt;&gt;"",F21*H21*$B4,"")</f>
        <v>0</v>
      </c>
      <c r="K21" s="19">
        <f>IF(Setup!B28&lt;&gt;"",IF(E21=0,$B5,0),"")</f>
        <v>0</v>
      </c>
      <c r="L21" s="52">
        <f>IF(Setup!B28&lt;&gt;"",I21+J21+K21,"")</f>
        <v>0</v>
      </c>
      <c r="M21" s="19">
        <f>IF(Setup!B28&lt;&gt;"",Payroll_Jul!P21,"")</f>
        <v>0</v>
      </c>
      <c r="N21" s="46">
        <v>0</v>
      </c>
      <c r="O21" s="46">
        <v>0</v>
      </c>
      <c r="P21" s="52">
        <f>IF(Setup!B28&lt;&gt;"",M21+N21-O21,"")</f>
        <v>0</v>
      </c>
      <c r="Q21" s="46">
        <v>0</v>
      </c>
      <c r="R21" s="47">
        <f>IF(Setup!B28&lt;&gt;"",L21-O21-Q21,"")</f>
        <v>0</v>
      </c>
    </row>
    <row r="22" spans="1:18" ht="21.75" customHeight="1" x14ac:dyDescent="0.3">
      <c r="A22" s="1">
        <f>Setup!B29</f>
        <v>0</v>
      </c>
      <c r="B22" s="40" t="str">
        <f>IF(Setup!B29&lt;&gt;"",Setup!C29,"")</f>
        <v/>
      </c>
      <c r="C22" s="41" t="str">
        <f>IF(Setup!B29&lt;&gt;"",$B3,"")</f>
        <v/>
      </c>
      <c r="D22" s="42" t="str">
        <f>IF(Setup!B29&lt;&gt;"",Attendance_Aug!S39,"")</f>
        <v/>
      </c>
      <c r="E22" s="41" t="str">
        <f>IF(Setup!B29&lt;&gt;"",Attendance_Aug!S40,"")</f>
        <v/>
      </c>
      <c r="F22" s="43" t="str">
        <f>IFERROR(IF(Setup!B29&lt;&gt;"",B22/C22,""),"")</f>
        <v/>
      </c>
      <c r="G22" s="42" t="str">
        <f>IF(Setup!B29&lt;&gt;"",MIN(D22,C22),"")</f>
        <v/>
      </c>
      <c r="H22" s="42" t="str">
        <f>IF(Setup!B29&lt;&gt;"",MAX(D22-C22,0),"")</f>
        <v/>
      </c>
      <c r="I22" s="16" t="str">
        <f>IF(Setup!B29&lt;&gt;"",F22*G22,"")</f>
        <v/>
      </c>
      <c r="J22" s="16" t="str">
        <f>IF(Setup!B29&lt;&gt;"",F22*H22*$B4,"")</f>
        <v/>
      </c>
      <c r="K22" s="16" t="str">
        <f>IF(Setup!B29&lt;&gt;"",IF(E22=0,$B5,0),"")</f>
        <v/>
      </c>
      <c r="L22" s="44" t="str">
        <f>IF(Setup!B29&lt;&gt;"",I22+J22+K22,"")</f>
        <v/>
      </c>
      <c r="M22" s="16" t="str">
        <f>IF(Setup!B29&lt;&gt;"",Payroll_Jul!P22,"")</f>
        <v/>
      </c>
      <c r="N22" s="46">
        <v>0</v>
      </c>
      <c r="O22" s="46">
        <v>0</v>
      </c>
      <c r="P22" s="44" t="str">
        <f>IF(Setup!B29&lt;&gt;"",M22+N22-O22,"")</f>
        <v/>
      </c>
      <c r="Q22" s="46">
        <v>0</v>
      </c>
      <c r="R22" s="47" t="str">
        <f>IF(Setup!B29&lt;&gt;"",L22-O22-Q22,"")</f>
        <v/>
      </c>
    </row>
    <row r="23" spans="1:18" ht="21.75" customHeight="1" x14ac:dyDescent="0.3">
      <c r="A23" s="18">
        <f>Setup!B30</f>
        <v>0</v>
      </c>
      <c r="B23" s="48" t="str">
        <f>IF(Setup!B30&lt;&gt;"",Setup!C30,"")</f>
        <v/>
      </c>
      <c r="C23" s="49" t="str">
        <f>IF(Setup!B30&lt;&gt;"",$B3,"")</f>
        <v/>
      </c>
      <c r="D23" s="50" t="str">
        <f>IF(Setup!B30&lt;&gt;"",Attendance_Aug!T39,"")</f>
        <v/>
      </c>
      <c r="E23" s="49" t="str">
        <f>IF(Setup!B30&lt;&gt;"",Attendance_Aug!T40,"")</f>
        <v/>
      </c>
      <c r="F23" s="51" t="str">
        <f>IFERROR(IF(Setup!B30&lt;&gt;"",B23/C23,""),"")</f>
        <v/>
      </c>
      <c r="G23" s="50" t="str">
        <f>IF(Setup!B30&lt;&gt;"",MIN(D23,C23),"")</f>
        <v/>
      </c>
      <c r="H23" s="50" t="str">
        <f>IF(Setup!B30&lt;&gt;"",MAX(D23-C23,0),"")</f>
        <v/>
      </c>
      <c r="I23" s="19" t="str">
        <f>IF(Setup!B30&lt;&gt;"",F23*G23,"")</f>
        <v/>
      </c>
      <c r="J23" s="19" t="str">
        <f>IF(Setup!B30&lt;&gt;"",F23*H23*$B4,"")</f>
        <v/>
      </c>
      <c r="K23" s="19" t="str">
        <f>IF(Setup!B30&lt;&gt;"",IF(E23=0,$B5,0),"")</f>
        <v/>
      </c>
      <c r="L23" s="52" t="str">
        <f>IF(Setup!B30&lt;&gt;"",I23+J23+K23,"")</f>
        <v/>
      </c>
      <c r="M23" s="19" t="str">
        <f>IF(Setup!B30&lt;&gt;"",Payroll_Jul!P23,"")</f>
        <v/>
      </c>
      <c r="N23" s="46">
        <v>0</v>
      </c>
      <c r="O23" s="46">
        <v>0</v>
      </c>
      <c r="P23" s="52" t="str">
        <f>IF(Setup!B30&lt;&gt;"",M23+N23-O23,"")</f>
        <v/>
      </c>
      <c r="Q23" s="46">
        <v>0</v>
      </c>
      <c r="R23" s="47" t="str">
        <f>IF(Setup!B30&lt;&gt;"",L23-O23-Q23,"")</f>
        <v/>
      </c>
    </row>
    <row r="24" spans="1:18" ht="21.75" customHeight="1" x14ac:dyDescent="0.3">
      <c r="A24" s="1">
        <f>Setup!B31</f>
        <v>0</v>
      </c>
      <c r="B24" s="40" t="str">
        <f>IF(Setup!B31&lt;&gt;"",Setup!C31,"")</f>
        <v/>
      </c>
      <c r="C24" s="41" t="str">
        <f>IF(Setup!B31&lt;&gt;"",$B3,"")</f>
        <v/>
      </c>
      <c r="D24" s="42" t="str">
        <f>IF(Setup!B31&lt;&gt;"",Attendance_Aug!U39,"")</f>
        <v/>
      </c>
      <c r="E24" s="41" t="str">
        <f>IF(Setup!B31&lt;&gt;"",Attendance_Aug!U40,"")</f>
        <v/>
      </c>
      <c r="F24" s="43" t="str">
        <f>IFERROR(IF(Setup!B31&lt;&gt;"",B24/C24,""),"")</f>
        <v/>
      </c>
      <c r="G24" s="42" t="str">
        <f>IF(Setup!B31&lt;&gt;"",MIN(D24,C24),"")</f>
        <v/>
      </c>
      <c r="H24" s="42" t="str">
        <f>IF(Setup!B31&lt;&gt;"",MAX(D24-C24,0),"")</f>
        <v/>
      </c>
      <c r="I24" s="16" t="str">
        <f>IF(Setup!B31&lt;&gt;"",F24*G24,"")</f>
        <v/>
      </c>
      <c r="J24" s="16" t="str">
        <f>IF(Setup!B31&lt;&gt;"",F24*H24*$B4,"")</f>
        <v/>
      </c>
      <c r="K24" s="16" t="str">
        <f>IF(Setup!B31&lt;&gt;"",IF(E24=0,$B5,0),"")</f>
        <v/>
      </c>
      <c r="L24" s="44" t="str">
        <f>IF(Setup!B31&lt;&gt;"",I24+J24+K24,"")</f>
        <v/>
      </c>
      <c r="M24" s="16" t="str">
        <f>IF(Setup!B31&lt;&gt;"",Payroll_Jul!P24,"")</f>
        <v/>
      </c>
      <c r="N24" s="46">
        <v>0</v>
      </c>
      <c r="O24" s="46">
        <v>0</v>
      </c>
      <c r="P24" s="44" t="str">
        <f>IF(Setup!B31&lt;&gt;"",M24+N24-O24,"")</f>
        <v/>
      </c>
      <c r="Q24" s="46">
        <v>0</v>
      </c>
      <c r="R24" s="47" t="str">
        <f>IF(Setup!B31&lt;&gt;"",L24-O24-Q24,"")</f>
        <v/>
      </c>
    </row>
    <row r="25" spans="1:18" ht="21.75" customHeight="1" x14ac:dyDescent="0.3">
      <c r="A25" s="18">
        <f>Setup!B32</f>
        <v>0</v>
      </c>
      <c r="B25" s="48" t="str">
        <f>IF(Setup!B32&lt;&gt;"",Setup!C32,"")</f>
        <v/>
      </c>
      <c r="C25" s="49" t="str">
        <f>IF(Setup!B32&lt;&gt;"",$B3,"")</f>
        <v/>
      </c>
      <c r="D25" s="50" t="str">
        <f>IF(Setup!B32&lt;&gt;"",Attendance_Aug!V39,"")</f>
        <v/>
      </c>
      <c r="E25" s="49" t="str">
        <f>IF(Setup!B32&lt;&gt;"",Attendance_Aug!V40,"")</f>
        <v/>
      </c>
      <c r="F25" s="51" t="str">
        <f>IFERROR(IF(Setup!B32&lt;&gt;"",B25/C25,""),"")</f>
        <v/>
      </c>
      <c r="G25" s="50" t="str">
        <f>IF(Setup!B32&lt;&gt;"",MIN(D25,C25),"")</f>
        <v/>
      </c>
      <c r="H25" s="50" t="str">
        <f>IF(Setup!B32&lt;&gt;"",MAX(D25-C25,0),"")</f>
        <v/>
      </c>
      <c r="I25" s="19" t="str">
        <f>IF(Setup!B32&lt;&gt;"",F25*G25,"")</f>
        <v/>
      </c>
      <c r="J25" s="19" t="str">
        <f>IF(Setup!B32&lt;&gt;"",F25*H25*$B4,"")</f>
        <v/>
      </c>
      <c r="K25" s="19" t="str">
        <f>IF(Setup!B32&lt;&gt;"",IF(E25=0,$B5,0),"")</f>
        <v/>
      </c>
      <c r="L25" s="52" t="str">
        <f>IF(Setup!B32&lt;&gt;"",I25+J25+K25,"")</f>
        <v/>
      </c>
      <c r="M25" s="19" t="str">
        <f>IF(Setup!B32&lt;&gt;"",Payroll_Jul!P25,"")</f>
        <v/>
      </c>
      <c r="N25" s="46">
        <v>0</v>
      </c>
      <c r="O25" s="46">
        <v>0</v>
      </c>
      <c r="P25" s="52" t="str">
        <f>IF(Setup!B32&lt;&gt;"",M25+N25-O25,"")</f>
        <v/>
      </c>
      <c r="Q25" s="46">
        <v>0</v>
      </c>
      <c r="R25" s="47" t="str">
        <f>IF(Setup!B32&lt;&gt;"",L25-O25-Q25,"")</f>
        <v/>
      </c>
    </row>
    <row r="26" spans="1:18" ht="21.75" customHeight="1" x14ac:dyDescent="0.3">
      <c r="A26" s="1">
        <f>Setup!B33</f>
        <v>0</v>
      </c>
      <c r="B26" s="40" t="str">
        <f>IF(Setup!B33&lt;&gt;"",Setup!C33,"")</f>
        <v/>
      </c>
      <c r="C26" s="41" t="str">
        <f>IF(Setup!B33&lt;&gt;"",$B3,"")</f>
        <v/>
      </c>
      <c r="D26" s="42" t="str">
        <f>IF(Setup!B33&lt;&gt;"",Attendance_Aug!W39,"")</f>
        <v/>
      </c>
      <c r="E26" s="41" t="str">
        <f>IF(Setup!B33&lt;&gt;"",Attendance_Aug!W40,"")</f>
        <v/>
      </c>
      <c r="F26" s="43" t="str">
        <f>IFERROR(IF(Setup!B33&lt;&gt;"",B26/C26,""),"")</f>
        <v/>
      </c>
      <c r="G26" s="42" t="str">
        <f>IF(Setup!B33&lt;&gt;"",MIN(D26,C26),"")</f>
        <v/>
      </c>
      <c r="H26" s="42" t="str">
        <f>IF(Setup!B33&lt;&gt;"",MAX(D26-C26,0),"")</f>
        <v/>
      </c>
      <c r="I26" s="16" t="str">
        <f>IF(Setup!B33&lt;&gt;"",F26*G26,"")</f>
        <v/>
      </c>
      <c r="J26" s="16" t="str">
        <f>IF(Setup!B33&lt;&gt;"",F26*H26*$B4,"")</f>
        <v/>
      </c>
      <c r="K26" s="16" t="str">
        <f>IF(Setup!B33&lt;&gt;"",IF(E26=0,$B5,0),"")</f>
        <v/>
      </c>
      <c r="L26" s="44" t="str">
        <f>IF(Setup!B33&lt;&gt;"",I26+J26+K26,"")</f>
        <v/>
      </c>
      <c r="M26" s="16" t="str">
        <f>IF(Setup!B33&lt;&gt;"",Payroll_Jul!P26,"")</f>
        <v/>
      </c>
      <c r="N26" s="46">
        <v>0</v>
      </c>
      <c r="O26" s="46">
        <v>0</v>
      </c>
      <c r="P26" s="44" t="str">
        <f>IF(Setup!B33&lt;&gt;"",M26+N26-O26,"")</f>
        <v/>
      </c>
      <c r="Q26" s="46">
        <v>0</v>
      </c>
      <c r="R26" s="47" t="str">
        <f>IF(Setup!B33&lt;&gt;"",L26-O26-Q26,"")</f>
        <v/>
      </c>
    </row>
    <row r="27" spans="1:18" ht="21.75" customHeight="1" x14ac:dyDescent="0.3">
      <c r="A27" s="18">
        <f>Setup!B34</f>
        <v>0</v>
      </c>
      <c r="B27" s="48" t="str">
        <f>IF(Setup!B34&lt;&gt;"",Setup!C34,"")</f>
        <v/>
      </c>
      <c r="C27" s="49" t="str">
        <f>IF(Setup!B34&lt;&gt;"",$B3,"")</f>
        <v/>
      </c>
      <c r="D27" s="50" t="str">
        <f>IF(Setup!B34&lt;&gt;"",Attendance_Aug!X39,"")</f>
        <v/>
      </c>
      <c r="E27" s="49" t="str">
        <f>IF(Setup!B34&lt;&gt;"",Attendance_Aug!X40,"")</f>
        <v/>
      </c>
      <c r="F27" s="51" t="str">
        <f>IFERROR(IF(Setup!B34&lt;&gt;"",B27/C27,""),"")</f>
        <v/>
      </c>
      <c r="G27" s="50" t="str">
        <f>IF(Setup!B34&lt;&gt;"",MIN(D27,C27),"")</f>
        <v/>
      </c>
      <c r="H27" s="50" t="str">
        <f>IF(Setup!B34&lt;&gt;"",MAX(D27-C27,0),"")</f>
        <v/>
      </c>
      <c r="I27" s="19" t="str">
        <f>IF(Setup!B34&lt;&gt;"",F27*G27,"")</f>
        <v/>
      </c>
      <c r="J27" s="19" t="str">
        <f>IF(Setup!B34&lt;&gt;"",F27*H27*$B4,"")</f>
        <v/>
      </c>
      <c r="K27" s="19" t="str">
        <f>IF(Setup!B34&lt;&gt;"",IF(E27=0,$B5,0),"")</f>
        <v/>
      </c>
      <c r="L27" s="52" t="str">
        <f>IF(Setup!B34&lt;&gt;"",I27+J27+K27,"")</f>
        <v/>
      </c>
      <c r="M27" s="19" t="str">
        <f>IF(Setup!B34&lt;&gt;"",Payroll_Jul!P27,"")</f>
        <v/>
      </c>
      <c r="N27" s="46">
        <v>0</v>
      </c>
      <c r="O27" s="46">
        <v>0</v>
      </c>
      <c r="P27" s="52" t="str">
        <f>IF(Setup!B34&lt;&gt;"",M27+N27-O27,"")</f>
        <v/>
      </c>
      <c r="Q27" s="46">
        <v>0</v>
      </c>
      <c r="R27" s="47" t="str">
        <f>IF(Setup!B34&lt;&gt;"",L27-O27-Q27,"")</f>
        <v/>
      </c>
    </row>
    <row r="28" spans="1:18" ht="21.75" customHeight="1" x14ac:dyDescent="0.3">
      <c r="A28" s="1">
        <f>Setup!B35</f>
        <v>0</v>
      </c>
      <c r="B28" s="40" t="str">
        <f>IF(Setup!B35&lt;&gt;"",Setup!C35,"")</f>
        <v/>
      </c>
      <c r="C28" s="41" t="str">
        <f>IF(Setup!B35&lt;&gt;"",$B3,"")</f>
        <v/>
      </c>
      <c r="D28" s="42" t="str">
        <f>IF(Setup!B35&lt;&gt;"",Attendance_Aug!Y39,"")</f>
        <v/>
      </c>
      <c r="E28" s="41" t="str">
        <f>IF(Setup!B35&lt;&gt;"",Attendance_Aug!Y40,"")</f>
        <v/>
      </c>
      <c r="F28" s="43" t="str">
        <f>IFERROR(IF(Setup!B35&lt;&gt;"",B28/C28,""),"")</f>
        <v/>
      </c>
      <c r="G28" s="42" t="str">
        <f>IF(Setup!B35&lt;&gt;"",MIN(D28,C28),"")</f>
        <v/>
      </c>
      <c r="H28" s="42" t="str">
        <f>IF(Setup!B35&lt;&gt;"",MAX(D28-C28,0),"")</f>
        <v/>
      </c>
      <c r="I28" s="16" t="str">
        <f>IF(Setup!B35&lt;&gt;"",F28*G28,"")</f>
        <v/>
      </c>
      <c r="J28" s="16" t="str">
        <f>IF(Setup!B35&lt;&gt;"",F28*H28*$B4,"")</f>
        <v/>
      </c>
      <c r="K28" s="16" t="str">
        <f>IF(Setup!B35&lt;&gt;"",IF(E28=0,$B5,0),"")</f>
        <v/>
      </c>
      <c r="L28" s="44" t="str">
        <f>IF(Setup!B35&lt;&gt;"",I28+J28+K28,"")</f>
        <v/>
      </c>
      <c r="M28" s="16" t="str">
        <f>IF(Setup!B35&lt;&gt;"",Payroll_Jul!P28,"")</f>
        <v/>
      </c>
      <c r="N28" s="46">
        <v>0</v>
      </c>
      <c r="O28" s="46">
        <v>0</v>
      </c>
      <c r="P28" s="44" t="str">
        <f>IF(Setup!B35&lt;&gt;"",M28+N28-O28,"")</f>
        <v/>
      </c>
      <c r="Q28" s="46">
        <v>0</v>
      </c>
      <c r="R28" s="47" t="str">
        <f>IF(Setup!B35&lt;&gt;"",L28-O28-Q28,"")</f>
        <v/>
      </c>
    </row>
    <row r="29" spans="1:18" ht="21.75" customHeight="1" x14ac:dyDescent="0.3">
      <c r="A29" s="18">
        <f>Setup!B36</f>
        <v>0</v>
      </c>
      <c r="B29" s="48" t="str">
        <f>IF(Setup!B36&lt;&gt;"",Setup!C36,"")</f>
        <v/>
      </c>
      <c r="C29" s="49" t="str">
        <f>IF(Setup!B36&lt;&gt;"",$B3,"")</f>
        <v/>
      </c>
      <c r="D29" s="50" t="str">
        <f>IF(Setup!B36&lt;&gt;"",Attendance_Aug!Z39,"")</f>
        <v/>
      </c>
      <c r="E29" s="49" t="str">
        <f>IF(Setup!B36&lt;&gt;"",Attendance_Aug!Z40,"")</f>
        <v/>
      </c>
      <c r="F29" s="51" t="str">
        <f>IFERROR(IF(Setup!B36&lt;&gt;"",B29/C29,""),"")</f>
        <v/>
      </c>
      <c r="G29" s="50" t="str">
        <f>IF(Setup!B36&lt;&gt;"",MIN(D29,C29),"")</f>
        <v/>
      </c>
      <c r="H29" s="50" t="str">
        <f>IF(Setup!B36&lt;&gt;"",MAX(D29-C29,0),"")</f>
        <v/>
      </c>
      <c r="I29" s="19" t="str">
        <f>IF(Setup!B36&lt;&gt;"",F29*G29,"")</f>
        <v/>
      </c>
      <c r="J29" s="19" t="str">
        <f>IF(Setup!B36&lt;&gt;"",F29*H29*$B4,"")</f>
        <v/>
      </c>
      <c r="K29" s="19" t="str">
        <f>IF(Setup!B36&lt;&gt;"",IF(E29=0,$B5,0),"")</f>
        <v/>
      </c>
      <c r="L29" s="52" t="str">
        <f>IF(Setup!B36&lt;&gt;"",I29+J29+K29,"")</f>
        <v/>
      </c>
      <c r="M29" s="19" t="str">
        <f>IF(Setup!B36&lt;&gt;"",Payroll_Jul!P29,"")</f>
        <v/>
      </c>
      <c r="N29" s="46">
        <v>0</v>
      </c>
      <c r="O29" s="46">
        <v>0</v>
      </c>
      <c r="P29" s="52" t="str">
        <f>IF(Setup!B36&lt;&gt;"",M29+N29-O29,"")</f>
        <v/>
      </c>
      <c r="Q29" s="46">
        <v>0</v>
      </c>
      <c r="R29" s="47" t="str">
        <f>IF(Setup!B36&lt;&gt;"",L29-O29-Q29,"")</f>
        <v/>
      </c>
    </row>
    <row r="30" spans="1:18" ht="21.75" customHeight="1" x14ac:dyDescent="0.3">
      <c r="A30" s="1">
        <f>Setup!B37</f>
        <v>0</v>
      </c>
      <c r="B30" s="40" t="str">
        <f>IF(Setup!B37&lt;&gt;"",Setup!C37,"")</f>
        <v/>
      </c>
      <c r="C30" s="41" t="str">
        <f>IF(Setup!B37&lt;&gt;"",$B3,"")</f>
        <v/>
      </c>
      <c r="D30" s="42" t="str">
        <f>IF(Setup!B37&lt;&gt;"",Attendance_Aug!AA39,"")</f>
        <v/>
      </c>
      <c r="E30" s="41" t="str">
        <f>IF(Setup!B37&lt;&gt;"",Attendance_Aug!AA40,"")</f>
        <v/>
      </c>
      <c r="F30" s="43" t="str">
        <f>IFERROR(IF(Setup!B37&lt;&gt;"",B30/C30,""),"")</f>
        <v/>
      </c>
      <c r="G30" s="42" t="str">
        <f>IF(Setup!B37&lt;&gt;"",MIN(D30,C30),"")</f>
        <v/>
      </c>
      <c r="H30" s="42" t="str">
        <f>IF(Setup!B37&lt;&gt;"",MAX(D30-C30,0),"")</f>
        <v/>
      </c>
      <c r="I30" s="16" t="str">
        <f>IF(Setup!B37&lt;&gt;"",F30*G30,"")</f>
        <v/>
      </c>
      <c r="J30" s="16" t="str">
        <f>IF(Setup!B37&lt;&gt;"",F30*H30*$B4,"")</f>
        <v/>
      </c>
      <c r="K30" s="16" t="str">
        <f>IF(Setup!B37&lt;&gt;"",IF(E30=0,$B5,0),"")</f>
        <v/>
      </c>
      <c r="L30" s="44" t="str">
        <f>IF(Setup!B37&lt;&gt;"",I30+J30+K30,"")</f>
        <v/>
      </c>
      <c r="M30" s="16" t="str">
        <f>IF(Setup!B37&lt;&gt;"",Payroll_Jul!P30,"")</f>
        <v/>
      </c>
      <c r="N30" s="46">
        <v>0</v>
      </c>
      <c r="O30" s="46">
        <v>0</v>
      </c>
      <c r="P30" s="44" t="str">
        <f>IF(Setup!B37&lt;&gt;"",M30+N30-O30,"")</f>
        <v/>
      </c>
      <c r="Q30" s="46">
        <v>0</v>
      </c>
      <c r="R30" s="47" t="str">
        <f>IF(Setup!B37&lt;&gt;"",L30-O30-Q30,"")</f>
        <v/>
      </c>
    </row>
    <row r="31" spans="1:18" ht="21.75" customHeight="1" x14ac:dyDescent="0.3">
      <c r="A31" s="18">
        <f>Setup!B38</f>
        <v>0</v>
      </c>
      <c r="B31" s="48" t="str">
        <f>IF(Setup!B38&lt;&gt;"",Setup!C38,"")</f>
        <v/>
      </c>
      <c r="C31" s="49" t="str">
        <f>IF(Setup!B38&lt;&gt;"",$B3,"")</f>
        <v/>
      </c>
      <c r="D31" s="50" t="str">
        <f>IF(Setup!B38&lt;&gt;"",Attendance_Aug!AB39,"")</f>
        <v/>
      </c>
      <c r="E31" s="49" t="str">
        <f>IF(Setup!B38&lt;&gt;"",Attendance_Aug!AB40,"")</f>
        <v/>
      </c>
      <c r="F31" s="51" t="str">
        <f>IFERROR(IF(Setup!B38&lt;&gt;"",B31/C31,""),"")</f>
        <v/>
      </c>
      <c r="G31" s="50" t="str">
        <f>IF(Setup!B38&lt;&gt;"",MIN(D31,C31),"")</f>
        <v/>
      </c>
      <c r="H31" s="50" t="str">
        <f>IF(Setup!B38&lt;&gt;"",MAX(D31-C31,0),"")</f>
        <v/>
      </c>
      <c r="I31" s="19" t="str">
        <f>IF(Setup!B38&lt;&gt;"",F31*G31,"")</f>
        <v/>
      </c>
      <c r="J31" s="19" t="str">
        <f>IF(Setup!B38&lt;&gt;"",F31*H31*$B4,"")</f>
        <v/>
      </c>
      <c r="K31" s="19" t="str">
        <f>IF(Setup!B38&lt;&gt;"",IF(E31=0,$B5,0),"")</f>
        <v/>
      </c>
      <c r="L31" s="52" t="str">
        <f>IF(Setup!B38&lt;&gt;"",I31+J31+K31,"")</f>
        <v/>
      </c>
      <c r="M31" s="19" t="str">
        <f>IF(Setup!B38&lt;&gt;"",Payroll_Jul!P31,"")</f>
        <v/>
      </c>
      <c r="N31" s="46">
        <v>0</v>
      </c>
      <c r="O31" s="46">
        <v>0</v>
      </c>
      <c r="P31" s="52" t="str">
        <f>IF(Setup!B38&lt;&gt;"",M31+N31-O31,"")</f>
        <v/>
      </c>
      <c r="Q31" s="46">
        <v>0</v>
      </c>
      <c r="R31" s="47" t="str">
        <f>IF(Setup!B38&lt;&gt;"",L31-O31-Q31,"")</f>
        <v/>
      </c>
    </row>
    <row r="32" spans="1:18" ht="21.75" customHeight="1" x14ac:dyDescent="0.3">
      <c r="A32" s="1">
        <f>Setup!B39</f>
        <v>0</v>
      </c>
      <c r="B32" s="40" t="str">
        <f>IF(Setup!B39&lt;&gt;"",Setup!C39,"")</f>
        <v/>
      </c>
      <c r="C32" s="41" t="str">
        <f>IF(Setup!B39&lt;&gt;"",$B3,"")</f>
        <v/>
      </c>
      <c r="D32" s="42" t="str">
        <f>IF(Setup!B39&lt;&gt;"",Attendance_Aug!AC39,"")</f>
        <v/>
      </c>
      <c r="E32" s="41" t="str">
        <f>IF(Setup!B39&lt;&gt;"",Attendance_Aug!AC40,"")</f>
        <v/>
      </c>
      <c r="F32" s="43" t="str">
        <f>IFERROR(IF(Setup!B39&lt;&gt;"",B32/C32,""),"")</f>
        <v/>
      </c>
      <c r="G32" s="42" t="str">
        <f>IF(Setup!B39&lt;&gt;"",MIN(D32,C32),"")</f>
        <v/>
      </c>
      <c r="H32" s="42" t="str">
        <f>IF(Setup!B39&lt;&gt;"",MAX(D32-C32,0),"")</f>
        <v/>
      </c>
      <c r="I32" s="16" t="str">
        <f>IF(Setup!B39&lt;&gt;"",F32*G32,"")</f>
        <v/>
      </c>
      <c r="J32" s="16" t="str">
        <f>IF(Setup!B39&lt;&gt;"",F32*H32*$B4,"")</f>
        <v/>
      </c>
      <c r="K32" s="16" t="str">
        <f>IF(Setup!B39&lt;&gt;"",IF(E32=0,$B5,0),"")</f>
        <v/>
      </c>
      <c r="L32" s="44" t="str">
        <f>IF(Setup!B39&lt;&gt;"",I32+J32+K32,"")</f>
        <v/>
      </c>
      <c r="M32" s="16" t="str">
        <f>IF(Setup!B39&lt;&gt;"",Payroll_Jul!P32,"")</f>
        <v/>
      </c>
      <c r="N32" s="46">
        <v>0</v>
      </c>
      <c r="O32" s="46">
        <v>0</v>
      </c>
      <c r="P32" s="44" t="str">
        <f>IF(Setup!B39&lt;&gt;"",M32+N32-O32,"")</f>
        <v/>
      </c>
      <c r="Q32" s="46">
        <v>0</v>
      </c>
      <c r="R32" s="47" t="str">
        <f>IF(Setup!B39&lt;&gt;"",L32-O32-Q32,"")</f>
        <v/>
      </c>
    </row>
    <row r="33" spans="1:18" ht="21.75" customHeight="1" x14ac:dyDescent="0.3">
      <c r="A33" s="18">
        <f>Setup!B40</f>
        <v>0</v>
      </c>
      <c r="B33" s="48" t="str">
        <f>IF(Setup!B40&lt;&gt;"",Setup!C40,"")</f>
        <v/>
      </c>
      <c r="C33" s="49" t="str">
        <f>IF(Setup!B40&lt;&gt;"",$B3,"")</f>
        <v/>
      </c>
      <c r="D33" s="50" t="str">
        <f>IF(Setup!B40&lt;&gt;"",Attendance_Aug!AD39,"")</f>
        <v/>
      </c>
      <c r="E33" s="49" t="str">
        <f>IF(Setup!B40&lt;&gt;"",Attendance_Aug!AD40,"")</f>
        <v/>
      </c>
      <c r="F33" s="51" t="str">
        <f>IFERROR(IF(Setup!B40&lt;&gt;"",B33/C33,""),"")</f>
        <v/>
      </c>
      <c r="G33" s="50" t="str">
        <f>IF(Setup!B40&lt;&gt;"",MIN(D33,C33),"")</f>
        <v/>
      </c>
      <c r="H33" s="50" t="str">
        <f>IF(Setup!B40&lt;&gt;"",MAX(D33-C33,0),"")</f>
        <v/>
      </c>
      <c r="I33" s="19" t="str">
        <f>IF(Setup!B40&lt;&gt;"",F33*G33,"")</f>
        <v/>
      </c>
      <c r="J33" s="19" t="str">
        <f>IF(Setup!B40&lt;&gt;"",F33*H33*$B4,"")</f>
        <v/>
      </c>
      <c r="K33" s="19" t="str">
        <f>IF(Setup!B40&lt;&gt;"",IF(E33=0,$B5,0),"")</f>
        <v/>
      </c>
      <c r="L33" s="52" t="str">
        <f>IF(Setup!B40&lt;&gt;"",I33+J33+K33,"")</f>
        <v/>
      </c>
      <c r="M33" s="19" t="str">
        <f>IF(Setup!B40&lt;&gt;"",Payroll_Jul!P33,"")</f>
        <v/>
      </c>
      <c r="N33" s="46">
        <v>0</v>
      </c>
      <c r="O33" s="46">
        <v>0</v>
      </c>
      <c r="P33" s="52" t="str">
        <f>IF(Setup!B40&lt;&gt;"",M33+N33-O33,"")</f>
        <v/>
      </c>
      <c r="Q33" s="46">
        <v>0</v>
      </c>
      <c r="R33" s="47" t="str">
        <f>IF(Setup!B40&lt;&gt;"",L33-O33-Q33,"")</f>
        <v/>
      </c>
    </row>
    <row r="34" spans="1:18" ht="21.75" customHeight="1" x14ac:dyDescent="0.3">
      <c r="A34" s="1">
        <f>Setup!B41</f>
        <v>0</v>
      </c>
      <c r="B34" s="40" t="str">
        <f>IF(Setup!B41&lt;&gt;"",Setup!C41,"")</f>
        <v/>
      </c>
      <c r="C34" s="41" t="str">
        <f>IF(Setup!B41&lt;&gt;"",$B3,"")</f>
        <v/>
      </c>
      <c r="D34" s="42" t="str">
        <f>IF(Setup!B41&lt;&gt;"",Attendance_Aug!AE39,"")</f>
        <v/>
      </c>
      <c r="E34" s="41" t="str">
        <f>IF(Setup!B41&lt;&gt;"",Attendance_Aug!AE40,"")</f>
        <v/>
      </c>
      <c r="F34" s="43" t="str">
        <f>IFERROR(IF(Setup!B41&lt;&gt;"",B34/C34,""),"")</f>
        <v/>
      </c>
      <c r="G34" s="42" t="str">
        <f>IF(Setup!B41&lt;&gt;"",MIN(D34,C34),"")</f>
        <v/>
      </c>
      <c r="H34" s="42" t="str">
        <f>IF(Setup!B41&lt;&gt;"",MAX(D34-C34,0),"")</f>
        <v/>
      </c>
      <c r="I34" s="16" t="str">
        <f>IF(Setup!B41&lt;&gt;"",F34*G34,"")</f>
        <v/>
      </c>
      <c r="J34" s="16" t="str">
        <f>IF(Setup!B41&lt;&gt;"",F34*H34*$B4,"")</f>
        <v/>
      </c>
      <c r="K34" s="16" t="str">
        <f>IF(Setup!B41&lt;&gt;"",IF(E34=0,$B5,0),"")</f>
        <v/>
      </c>
      <c r="L34" s="44" t="str">
        <f>IF(Setup!B41&lt;&gt;"",I34+J34+K34,"")</f>
        <v/>
      </c>
      <c r="M34" s="16" t="str">
        <f>IF(Setup!B41&lt;&gt;"",Payroll_Jul!P34,"")</f>
        <v/>
      </c>
      <c r="N34" s="46">
        <v>0</v>
      </c>
      <c r="O34" s="46">
        <v>0</v>
      </c>
      <c r="P34" s="44" t="str">
        <f>IF(Setup!B41&lt;&gt;"",M34+N34-O34,"")</f>
        <v/>
      </c>
      <c r="Q34" s="46">
        <v>0</v>
      </c>
      <c r="R34" s="47" t="str">
        <f>IF(Setup!B41&lt;&gt;"",L34-O34-Q34,"")</f>
        <v/>
      </c>
    </row>
    <row r="35" spans="1:18" ht="21.75" customHeight="1" x14ac:dyDescent="0.3">
      <c r="A35" s="18">
        <f>Setup!B42</f>
        <v>0</v>
      </c>
      <c r="B35" s="48" t="str">
        <f>IF(Setup!B42&lt;&gt;"",Setup!C42,"")</f>
        <v/>
      </c>
      <c r="C35" s="49" t="str">
        <f>IF(Setup!B42&lt;&gt;"",$B3,"")</f>
        <v/>
      </c>
      <c r="D35" s="50" t="str">
        <f>IF(Setup!B42&lt;&gt;"",Attendance_Aug!AF39,"")</f>
        <v/>
      </c>
      <c r="E35" s="49" t="str">
        <f>IF(Setup!B42&lt;&gt;"",Attendance_Aug!AF40,"")</f>
        <v/>
      </c>
      <c r="F35" s="51" t="str">
        <f>IFERROR(IF(Setup!B42&lt;&gt;"",B35/C35,""),"")</f>
        <v/>
      </c>
      <c r="G35" s="50" t="str">
        <f>IF(Setup!B42&lt;&gt;"",MIN(D35,C35),"")</f>
        <v/>
      </c>
      <c r="H35" s="50" t="str">
        <f>IF(Setup!B42&lt;&gt;"",MAX(D35-C35,0),"")</f>
        <v/>
      </c>
      <c r="I35" s="19" t="str">
        <f>IF(Setup!B42&lt;&gt;"",F35*G35,"")</f>
        <v/>
      </c>
      <c r="J35" s="19" t="str">
        <f>IF(Setup!B42&lt;&gt;"",F35*H35*$B4,"")</f>
        <v/>
      </c>
      <c r="K35" s="19" t="str">
        <f>IF(Setup!B42&lt;&gt;"",IF(E35=0,$B5,0),"")</f>
        <v/>
      </c>
      <c r="L35" s="52" t="str">
        <f>IF(Setup!B42&lt;&gt;"",I35+J35+K35,"")</f>
        <v/>
      </c>
      <c r="M35" s="19" t="str">
        <f>IF(Setup!B42&lt;&gt;"",Payroll_Jul!P35,"")</f>
        <v/>
      </c>
      <c r="N35" s="46">
        <v>0</v>
      </c>
      <c r="O35" s="46">
        <v>0</v>
      </c>
      <c r="P35" s="52" t="str">
        <f>IF(Setup!B42&lt;&gt;"",M35+N35-O35,"")</f>
        <v/>
      </c>
      <c r="Q35" s="46">
        <v>0</v>
      </c>
      <c r="R35" s="47" t="str">
        <f>IF(Setup!B42&lt;&gt;"",L35-O35-Q35,"")</f>
        <v/>
      </c>
    </row>
    <row r="36" spans="1:18" ht="21.75" customHeight="1" x14ac:dyDescent="0.3">
      <c r="A36" s="1">
        <f>Setup!B43</f>
        <v>0</v>
      </c>
      <c r="B36" s="40" t="str">
        <f>IF(Setup!B43&lt;&gt;"",Setup!C43,"")</f>
        <v/>
      </c>
      <c r="C36" s="41" t="str">
        <f>IF(Setup!B43&lt;&gt;"",$B3,"")</f>
        <v/>
      </c>
      <c r="D36" s="42" t="str">
        <f>IF(Setup!B43&lt;&gt;"",Attendance_Aug!AG39,"")</f>
        <v/>
      </c>
      <c r="E36" s="41" t="str">
        <f>IF(Setup!B43&lt;&gt;"",Attendance_Aug!AG40,"")</f>
        <v/>
      </c>
      <c r="F36" s="43" t="str">
        <f>IFERROR(IF(Setup!B43&lt;&gt;"",B36/C36,""),"")</f>
        <v/>
      </c>
      <c r="G36" s="42" t="str">
        <f>IF(Setup!B43&lt;&gt;"",MIN(D36,C36),"")</f>
        <v/>
      </c>
      <c r="H36" s="42" t="str">
        <f>IF(Setup!B43&lt;&gt;"",MAX(D36-C36,0),"")</f>
        <v/>
      </c>
      <c r="I36" s="16" t="str">
        <f>IF(Setup!B43&lt;&gt;"",F36*G36,"")</f>
        <v/>
      </c>
      <c r="J36" s="16" t="str">
        <f>IF(Setup!B43&lt;&gt;"",F36*H36*$B4,"")</f>
        <v/>
      </c>
      <c r="K36" s="16" t="str">
        <f>IF(Setup!B43&lt;&gt;"",IF(E36=0,$B5,0),"")</f>
        <v/>
      </c>
      <c r="L36" s="44" t="str">
        <f>IF(Setup!B43&lt;&gt;"",I36+J36+K36,"")</f>
        <v/>
      </c>
      <c r="M36" s="16" t="str">
        <f>IF(Setup!B43&lt;&gt;"",Payroll_Jul!P36,"")</f>
        <v/>
      </c>
      <c r="N36" s="46">
        <v>0</v>
      </c>
      <c r="O36" s="46">
        <v>0</v>
      </c>
      <c r="P36" s="44" t="str">
        <f>IF(Setup!B43&lt;&gt;"",M36+N36-O36,"")</f>
        <v/>
      </c>
      <c r="Q36" s="46">
        <v>0</v>
      </c>
      <c r="R36" s="47" t="str">
        <f>IF(Setup!B43&lt;&gt;"",L36-O36-Q36,"")</f>
        <v/>
      </c>
    </row>
    <row r="37" spans="1:18" ht="21.75" customHeight="1" x14ac:dyDescent="0.3">
      <c r="A37" s="18">
        <f>Setup!B44</f>
        <v>0</v>
      </c>
      <c r="B37" s="48" t="str">
        <f>IF(Setup!B44&lt;&gt;"",Setup!C44,"")</f>
        <v/>
      </c>
      <c r="C37" s="49" t="str">
        <f>IF(Setup!B44&lt;&gt;"",$B3,"")</f>
        <v/>
      </c>
      <c r="D37" s="50" t="str">
        <f>IF(Setup!B44&lt;&gt;"",Attendance_Aug!AH39,"")</f>
        <v/>
      </c>
      <c r="E37" s="49" t="str">
        <f>IF(Setup!B44&lt;&gt;"",Attendance_Aug!AH40,"")</f>
        <v/>
      </c>
      <c r="F37" s="51" t="str">
        <f>IFERROR(IF(Setup!B44&lt;&gt;"",B37/C37,""),"")</f>
        <v/>
      </c>
      <c r="G37" s="50" t="str">
        <f>IF(Setup!B44&lt;&gt;"",MIN(D37,C37),"")</f>
        <v/>
      </c>
      <c r="H37" s="50" t="str">
        <f>IF(Setup!B44&lt;&gt;"",MAX(D37-C37,0),"")</f>
        <v/>
      </c>
      <c r="I37" s="19" t="str">
        <f>IF(Setup!B44&lt;&gt;"",F37*G37,"")</f>
        <v/>
      </c>
      <c r="J37" s="19" t="str">
        <f>IF(Setup!B44&lt;&gt;"",F37*H37*$B4,"")</f>
        <v/>
      </c>
      <c r="K37" s="19" t="str">
        <f>IF(Setup!B44&lt;&gt;"",IF(E37=0,$B5,0),"")</f>
        <v/>
      </c>
      <c r="L37" s="52" t="str">
        <f>IF(Setup!B44&lt;&gt;"",I37+J37+K37,"")</f>
        <v/>
      </c>
      <c r="M37" s="19" t="str">
        <f>IF(Setup!B44&lt;&gt;"",Payroll_Jul!P37,"")</f>
        <v/>
      </c>
      <c r="N37" s="46">
        <v>0</v>
      </c>
      <c r="O37" s="46">
        <v>0</v>
      </c>
      <c r="P37" s="52" t="str">
        <f>IF(Setup!B44&lt;&gt;"",M37+N37-O37,"")</f>
        <v/>
      </c>
      <c r="Q37" s="46">
        <v>0</v>
      </c>
      <c r="R37" s="47" t="str">
        <f>IF(Setup!B44&lt;&gt;"",L37-O37-Q37,"")</f>
        <v/>
      </c>
    </row>
    <row r="38" spans="1:18" ht="25.5" customHeight="1" x14ac:dyDescent="0.3">
      <c r="A38" s="55" t="s">
        <v>113</v>
      </c>
      <c r="B38" s="55"/>
      <c r="C38" s="17">
        <f>SUM(C8:C37)</f>
        <v>2912</v>
      </c>
      <c r="D38" s="36">
        <f>SUM(D8:D37)</f>
        <v>0</v>
      </c>
      <c r="E38" s="17">
        <f>SUM(E8:E37)</f>
        <v>0</v>
      </c>
      <c r="F38" s="17"/>
      <c r="G38" s="36">
        <f t="shared" ref="G38:R38" si="0">SUM(G8:G37)</f>
        <v>0</v>
      </c>
      <c r="H38" s="36">
        <f t="shared" si="0"/>
        <v>0</v>
      </c>
      <c r="I38" s="17">
        <f t="shared" si="0"/>
        <v>0</v>
      </c>
      <c r="J38" s="17">
        <f t="shared" si="0"/>
        <v>0</v>
      </c>
      <c r="K38" s="17">
        <f t="shared" si="0"/>
        <v>0</v>
      </c>
      <c r="L38" s="17">
        <f t="shared" si="0"/>
        <v>0</v>
      </c>
      <c r="M38" s="17">
        <f t="shared" si="0"/>
        <v>93000</v>
      </c>
      <c r="N38" s="17">
        <f t="shared" si="0"/>
        <v>0</v>
      </c>
      <c r="O38" s="17">
        <f t="shared" si="0"/>
        <v>0</v>
      </c>
      <c r="P38" s="17">
        <f t="shared" si="0"/>
        <v>93000</v>
      </c>
      <c r="Q38" s="17">
        <f t="shared" si="0"/>
        <v>0</v>
      </c>
      <c r="R38" s="17">
        <f t="shared" si="0"/>
        <v>0</v>
      </c>
    </row>
    <row r="40" spans="1:18" ht="19.5" customHeight="1" x14ac:dyDescent="0.3">
      <c r="A40" s="56" t="s">
        <v>114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</sheetData>
  <mergeCells count="3">
    <mergeCell ref="A1:R1"/>
    <mergeCell ref="A38:B38"/>
    <mergeCell ref="A40:R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6600"/>
  </sheetPr>
  <dimension ref="A1:R40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5546875" defaultRowHeight="14.4" x14ac:dyDescent="0.3"/>
  <cols>
    <col min="1" max="1" width="22" customWidth="1"/>
    <col min="2" max="2" width="15" customWidth="1"/>
    <col min="3" max="4" width="11" customWidth="1"/>
    <col min="5" max="5" width="10" customWidth="1"/>
    <col min="6" max="7" width="12" customWidth="1"/>
    <col min="8" max="8" width="10" customWidth="1"/>
    <col min="9" max="9" width="14" customWidth="1"/>
    <col min="10" max="10" width="13" customWidth="1"/>
    <col min="11" max="11" width="16" customWidth="1"/>
    <col min="12" max="12" width="14" customWidth="1"/>
    <col min="13" max="16" width="12" customWidth="1"/>
    <col min="17" max="17" width="15" customWidth="1"/>
    <col min="18" max="18" width="14" customWidth="1"/>
  </cols>
  <sheetData>
    <row r="1" spans="1:18" ht="31.5" customHeight="1" x14ac:dyDescent="0.3">
      <c r="A1" s="54" t="s">
        <v>129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1" t="s">
        <v>93</v>
      </c>
      <c r="B2" s="10" t="s">
        <v>130</v>
      </c>
    </row>
    <row r="3" spans="1:18" ht="19.5" customHeight="1" x14ac:dyDescent="0.3">
      <c r="A3" s="1" t="s">
        <v>95</v>
      </c>
      <c r="B3" s="10">
        <v>208</v>
      </c>
    </row>
    <row r="4" spans="1:18" ht="19.5" customHeight="1" x14ac:dyDescent="0.3">
      <c r="A4" s="1" t="s">
        <v>14</v>
      </c>
      <c r="B4" s="38">
        <f>Setup!B9</f>
        <v>1.5</v>
      </c>
    </row>
    <row r="5" spans="1:18" ht="19.5" customHeight="1" x14ac:dyDescent="0.3">
      <c r="A5" s="1" t="s">
        <v>16</v>
      </c>
      <c r="B5" s="12">
        <f>Setup!B10</f>
        <v>0</v>
      </c>
    </row>
    <row r="7" spans="1:18" ht="36" customHeight="1" x14ac:dyDescent="0.3">
      <c r="A7" s="39" t="s">
        <v>37</v>
      </c>
      <c r="B7" s="39" t="s">
        <v>96</v>
      </c>
      <c r="C7" s="39" t="s">
        <v>97</v>
      </c>
      <c r="D7" s="39" t="s">
        <v>98</v>
      </c>
      <c r="E7" s="39" t="s">
        <v>99</v>
      </c>
      <c r="F7" s="39" t="s">
        <v>100</v>
      </c>
      <c r="G7" s="39" t="s">
        <v>101</v>
      </c>
      <c r="H7" s="39" t="s">
        <v>102</v>
      </c>
      <c r="I7" s="21" t="s">
        <v>103</v>
      </c>
      <c r="J7" s="21" t="s">
        <v>104</v>
      </c>
      <c r="K7" s="21" t="s">
        <v>105</v>
      </c>
      <c r="L7" s="21" t="s">
        <v>106</v>
      </c>
      <c r="M7" s="21" t="s">
        <v>107</v>
      </c>
      <c r="N7" s="21" t="s">
        <v>108</v>
      </c>
      <c r="O7" s="21" t="s">
        <v>109</v>
      </c>
      <c r="P7" s="21" t="s">
        <v>110</v>
      </c>
      <c r="Q7" s="21" t="s">
        <v>111</v>
      </c>
      <c r="R7" s="21" t="s">
        <v>112</v>
      </c>
    </row>
    <row r="8" spans="1:18" ht="21.75" customHeight="1" x14ac:dyDescent="0.3">
      <c r="A8" s="1" t="str">
        <f>Setup!B15</f>
        <v>Sheraz</v>
      </c>
      <c r="B8" s="40">
        <f>IF(Setup!B15&lt;&gt;"",Setup!C15,"")</f>
        <v>38000</v>
      </c>
      <c r="C8" s="41">
        <f>IF(Setup!B15&lt;&gt;"",$B3,"")</f>
        <v>208</v>
      </c>
      <c r="D8" s="42">
        <f>IF(Setup!B15&lt;&gt;"",Attendance_Sep!E38,"")</f>
        <v>0</v>
      </c>
      <c r="E8" s="41">
        <f>IF(Setup!B15&lt;&gt;"",Attendance_Sep!E39,"")</f>
        <v>0</v>
      </c>
      <c r="F8" s="43">
        <f>IFERROR(IF(Setup!B15&lt;&gt;"",B8/C8,""),"")</f>
        <v>182.69230769230768</v>
      </c>
      <c r="G8" s="42">
        <f>IF(Setup!B15&lt;&gt;"",MIN(D8,C8),"")</f>
        <v>0</v>
      </c>
      <c r="H8" s="42">
        <f>IF(Setup!B15&lt;&gt;"",MAX(D8-C8,0),"")</f>
        <v>0</v>
      </c>
      <c r="I8" s="16">
        <f>IF(Setup!B15&lt;&gt;"",F8*G8,"")</f>
        <v>0</v>
      </c>
      <c r="J8" s="16">
        <f>IF(Setup!B15&lt;&gt;"",F8*H8*$B4,"")</f>
        <v>0</v>
      </c>
      <c r="K8" s="16">
        <f>IF(Setup!B15&lt;&gt;"",IF(E8=0,$B5,0),"")</f>
        <v>0</v>
      </c>
      <c r="L8" s="44">
        <f>IF(Setup!B15&lt;&gt;"",I8+J8+K8,"")</f>
        <v>0</v>
      </c>
      <c r="M8" s="16">
        <f>IF(Setup!B15&lt;&gt;"",Payroll_Aug!P8,"")</f>
        <v>40000</v>
      </c>
      <c r="N8" s="46">
        <v>0</v>
      </c>
      <c r="O8" s="46">
        <v>0</v>
      </c>
      <c r="P8" s="44">
        <f>IF(Setup!B15&lt;&gt;"",M8+N8-O8,"")</f>
        <v>40000</v>
      </c>
      <c r="Q8" s="46">
        <v>0</v>
      </c>
      <c r="R8" s="47">
        <f>IF(Setup!B15&lt;&gt;"",L8-O8-Q8,"")</f>
        <v>0</v>
      </c>
    </row>
    <row r="9" spans="1:18" ht="21.75" customHeight="1" x14ac:dyDescent="0.3">
      <c r="A9" s="18" t="str">
        <f>Setup!B16</f>
        <v>Zain</v>
      </c>
      <c r="B9" s="48">
        <f>IF(Setup!B16&lt;&gt;"",Setup!C16,"")</f>
        <v>53000</v>
      </c>
      <c r="C9" s="49">
        <f>IF(Setup!B16&lt;&gt;"",$B3,"")</f>
        <v>208</v>
      </c>
      <c r="D9" s="50">
        <f>IF(Setup!B16&lt;&gt;"",Attendance_Sep!F38,"")</f>
        <v>0</v>
      </c>
      <c r="E9" s="49">
        <f>IF(Setup!B16&lt;&gt;"",Attendance_Sep!F39,"")</f>
        <v>0</v>
      </c>
      <c r="F9" s="51">
        <f>IFERROR(IF(Setup!B16&lt;&gt;"",B9/C9,""),"")</f>
        <v>254.80769230769232</v>
      </c>
      <c r="G9" s="50">
        <f>IF(Setup!B16&lt;&gt;"",MIN(D9,C9),"")</f>
        <v>0</v>
      </c>
      <c r="H9" s="50">
        <f>IF(Setup!B16&lt;&gt;"",MAX(D9-C9,0),"")</f>
        <v>0</v>
      </c>
      <c r="I9" s="19">
        <f>IF(Setup!B16&lt;&gt;"",F9*G9,"")</f>
        <v>0</v>
      </c>
      <c r="J9" s="19">
        <f>IF(Setup!B16&lt;&gt;"",F9*H9*$B4,"")</f>
        <v>0</v>
      </c>
      <c r="K9" s="19">
        <f>IF(Setup!B16&lt;&gt;"",IF(E9=0,$B5,0),"")</f>
        <v>0</v>
      </c>
      <c r="L9" s="52">
        <f>IF(Setup!B16&lt;&gt;"",I9+J9+K9,"")</f>
        <v>0</v>
      </c>
      <c r="M9" s="19">
        <f>IF(Setup!B16&lt;&gt;"",Payroll_Aug!P9,"")</f>
        <v>0</v>
      </c>
      <c r="N9" s="46">
        <v>0</v>
      </c>
      <c r="O9" s="46">
        <v>0</v>
      </c>
      <c r="P9" s="52">
        <f>IF(Setup!B16&lt;&gt;"",M9+N9-O9,"")</f>
        <v>0</v>
      </c>
      <c r="Q9" s="46">
        <v>0</v>
      </c>
      <c r="R9" s="47">
        <f>IF(Setup!B16&lt;&gt;"",L9-O9-Q9,"")</f>
        <v>0</v>
      </c>
    </row>
    <row r="10" spans="1:18" ht="21.75" customHeight="1" x14ac:dyDescent="0.3">
      <c r="A10" s="1" t="str">
        <f>Setup!B17</f>
        <v>Yousaf</v>
      </c>
      <c r="B10" s="40">
        <f>IF(Setup!B17&lt;&gt;"",Setup!C17,"")</f>
        <v>28000</v>
      </c>
      <c r="C10" s="41">
        <f>IF(Setup!B17&lt;&gt;"",$B3,"")</f>
        <v>208</v>
      </c>
      <c r="D10" s="42">
        <f>IF(Setup!B17&lt;&gt;"",Attendance_Sep!G38,"")</f>
        <v>0</v>
      </c>
      <c r="E10" s="41">
        <f>IF(Setup!B17&lt;&gt;"",Attendance_Sep!G39,"")</f>
        <v>0</v>
      </c>
      <c r="F10" s="43">
        <f>IFERROR(IF(Setup!B17&lt;&gt;"",B10/C10,""),"")</f>
        <v>134.61538461538461</v>
      </c>
      <c r="G10" s="42">
        <f>IF(Setup!B17&lt;&gt;"",MIN(D10,C10),"")</f>
        <v>0</v>
      </c>
      <c r="H10" s="42">
        <f>IF(Setup!B17&lt;&gt;"",MAX(D10-C10,0),"")</f>
        <v>0</v>
      </c>
      <c r="I10" s="16">
        <f>IF(Setup!B17&lt;&gt;"",F10*G10,"")</f>
        <v>0</v>
      </c>
      <c r="J10" s="16">
        <f>IF(Setup!B17&lt;&gt;"",F10*H10*$B4,"")</f>
        <v>0</v>
      </c>
      <c r="K10" s="16">
        <f>IF(Setup!B17&lt;&gt;"",IF(E10=0,$B5,0),"")</f>
        <v>0</v>
      </c>
      <c r="L10" s="44">
        <f>IF(Setup!B17&lt;&gt;"",I10+J10+K10,"")</f>
        <v>0</v>
      </c>
      <c r="M10" s="16">
        <f>IF(Setup!B17&lt;&gt;"",Payroll_Aug!P10,"")</f>
        <v>0</v>
      </c>
      <c r="N10" s="46">
        <v>0</v>
      </c>
      <c r="O10" s="46">
        <v>0</v>
      </c>
      <c r="P10" s="44">
        <f>IF(Setup!B17&lt;&gt;"",M10+N10-O10,"")</f>
        <v>0</v>
      </c>
      <c r="Q10" s="46">
        <v>0</v>
      </c>
      <c r="R10" s="47">
        <f>IF(Setup!B17&lt;&gt;"",L10-O10-Q10,"")</f>
        <v>0</v>
      </c>
    </row>
    <row r="11" spans="1:18" ht="21.75" customHeight="1" x14ac:dyDescent="0.3">
      <c r="A11" s="18" t="str">
        <f>Setup!B18</f>
        <v>Hamza</v>
      </c>
      <c r="B11" s="48">
        <f>IF(Setup!B18&lt;&gt;"",Setup!C18,"")</f>
        <v>25000</v>
      </c>
      <c r="C11" s="49">
        <f>IF(Setup!B18&lt;&gt;"",$B3,"")</f>
        <v>208</v>
      </c>
      <c r="D11" s="50">
        <f>IF(Setup!B18&lt;&gt;"",Attendance_Sep!H38,"")</f>
        <v>0</v>
      </c>
      <c r="E11" s="49">
        <f>IF(Setup!B18&lt;&gt;"",Attendance_Sep!H39,"")</f>
        <v>0</v>
      </c>
      <c r="F11" s="51">
        <f>IFERROR(IF(Setup!B18&lt;&gt;"",B11/C11,""),"")</f>
        <v>120.19230769230769</v>
      </c>
      <c r="G11" s="50">
        <f>IF(Setup!B18&lt;&gt;"",MIN(D11,C11),"")</f>
        <v>0</v>
      </c>
      <c r="H11" s="50">
        <f>IF(Setup!B18&lt;&gt;"",MAX(D11-C11,0),"")</f>
        <v>0</v>
      </c>
      <c r="I11" s="19">
        <f>IF(Setup!B18&lt;&gt;"",F11*G11,"")</f>
        <v>0</v>
      </c>
      <c r="J11" s="19">
        <f>IF(Setup!B18&lt;&gt;"",F11*H11*$B4,"")</f>
        <v>0</v>
      </c>
      <c r="K11" s="19">
        <f>IF(Setup!B18&lt;&gt;"",IF(E11=0,$B5,0),"")</f>
        <v>0</v>
      </c>
      <c r="L11" s="52">
        <f>IF(Setup!B18&lt;&gt;"",I11+J11+K11,"")</f>
        <v>0</v>
      </c>
      <c r="M11" s="19">
        <f>IF(Setup!B18&lt;&gt;"",Payroll_Aug!P11,"")</f>
        <v>18000</v>
      </c>
      <c r="N11" s="46">
        <v>0</v>
      </c>
      <c r="O11" s="46">
        <v>0</v>
      </c>
      <c r="P11" s="52">
        <f>IF(Setup!B18&lt;&gt;"",M11+N11-O11,"")</f>
        <v>18000</v>
      </c>
      <c r="Q11" s="46">
        <v>0</v>
      </c>
      <c r="R11" s="47">
        <f>IF(Setup!B18&lt;&gt;"",L11-O11-Q11,"")</f>
        <v>0</v>
      </c>
    </row>
    <row r="12" spans="1:18" ht="21.75" customHeight="1" x14ac:dyDescent="0.3">
      <c r="A12" s="1" t="str">
        <f>Setup!B19</f>
        <v>Amjad</v>
      </c>
      <c r="B12" s="40">
        <f>IF(Setup!B19&lt;&gt;"",Setup!C19,"")</f>
        <v>25000</v>
      </c>
      <c r="C12" s="41">
        <f>IF(Setup!B19&lt;&gt;"",$B3,"")</f>
        <v>208</v>
      </c>
      <c r="D12" s="42">
        <f>IF(Setup!B19&lt;&gt;"",Attendance_Sep!I38,"")</f>
        <v>0</v>
      </c>
      <c r="E12" s="41">
        <f>IF(Setup!B19&lt;&gt;"",Attendance_Sep!I39,"")</f>
        <v>0</v>
      </c>
      <c r="F12" s="43">
        <f>IFERROR(IF(Setup!B19&lt;&gt;"",B12/C12,""),"")</f>
        <v>120.19230769230769</v>
      </c>
      <c r="G12" s="42">
        <f>IF(Setup!B19&lt;&gt;"",MIN(D12,C12),"")</f>
        <v>0</v>
      </c>
      <c r="H12" s="42">
        <f>IF(Setup!B19&lt;&gt;"",MAX(D12-C12,0),"")</f>
        <v>0</v>
      </c>
      <c r="I12" s="16">
        <f>IF(Setup!B19&lt;&gt;"",F12*G12,"")</f>
        <v>0</v>
      </c>
      <c r="J12" s="16">
        <f>IF(Setup!B19&lt;&gt;"",F12*H12*$B4,"")</f>
        <v>0</v>
      </c>
      <c r="K12" s="16">
        <f>IF(Setup!B19&lt;&gt;"",IF(E12=0,$B5,0),"")</f>
        <v>0</v>
      </c>
      <c r="L12" s="44">
        <f>IF(Setup!B19&lt;&gt;"",I12+J12+K12,"")</f>
        <v>0</v>
      </c>
      <c r="M12" s="16">
        <f>IF(Setup!B19&lt;&gt;"",Payroll_Aug!P12,"")</f>
        <v>5000</v>
      </c>
      <c r="N12" s="46">
        <v>0</v>
      </c>
      <c r="O12" s="46">
        <v>0</v>
      </c>
      <c r="P12" s="44">
        <f>IF(Setup!B19&lt;&gt;"",M12+N12-O12,"")</f>
        <v>5000</v>
      </c>
      <c r="Q12" s="46">
        <v>0</v>
      </c>
      <c r="R12" s="47">
        <f>IF(Setup!B19&lt;&gt;"",L12-O12-Q12,"")</f>
        <v>0</v>
      </c>
    </row>
    <row r="13" spans="1:18" ht="21.75" customHeight="1" x14ac:dyDescent="0.3">
      <c r="A13" s="18" t="str">
        <f>Setup!B20</f>
        <v>Tanveer</v>
      </c>
      <c r="B13" s="48">
        <f>IF(Setup!B20&lt;&gt;"",Setup!C20,"")</f>
        <v>25000</v>
      </c>
      <c r="C13" s="49">
        <f>IF(Setup!B20&lt;&gt;"",$B3,"")</f>
        <v>208</v>
      </c>
      <c r="D13" s="50">
        <f>IF(Setup!B20&lt;&gt;"",Attendance_Sep!J38,"")</f>
        <v>0</v>
      </c>
      <c r="E13" s="49">
        <f>IF(Setup!B20&lt;&gt;"",Attendance_Sep!J39,"")</f>
        <v>0</v>
      </c>
      <c r="F13" s="51">
        <f>IFERROR(IF(Setup!B20&lt;&gt;"",B13/C13,""),"")</f>
        <v>120.19230769230769</v>
      </c>
      <c r="G13" s="50">
        <f>IF(Setup!B20&lt;&gt;"",MIN(D13,C13),"")</f>
        <v>0</v>
      </c>
      <c r="H13" s="50">
        <f>IF(Setup!B20&lt;&gt;"",MAX(D13-C13,0),"")</f>
        <v>0</v>
      </c>
      <c r="I13" s="19">
        <f>IF(Setup!B20&lt;&gt;"",F13*G13,"")</f>
        <v>0</v>
      </c>
      <c r="J13" s="19">
        <f>IF(Setup!B20&lt;&gt;"",F13*H13*$B4,"")</f>
        <v>0</v>
      </c>
      <c r="K13" s="19">
        <f>IF(Setup!B20&lt;&gt;"",IF(E13=0,$B5,0),"")</f>
        <v>0</v>
      </c>
      <c r="L13" s="52">
        <f>IF(Setup!B20&lt;&gt;"",I13+J13+K13,"")</f>
        <v>0</v>
      </c>
      <c r="M13" s="19">
        <f>IF(Setup!B20&lt;&gt;"",Payroll_Aug!P13,"")</f>
        <v>10000</v>
      </c>
      <c r="N13" s="46">
        <v>0</v>
      </c>
      <c r="O13" s="46">
        <v>0</v>
      </c>
      <c r="P13" s="52">
        <f>IF(Setup!B20&lt;&gt;"",M13+N13-O13,"")</f>
        <v>10000</v>
      </c>
      <c r="Q13" s="46">
        <v>0</v>
      </c>
      <c r="R13" s="47">
        <f>IF(Setup!B20&lt;&gt;"",L13-O13-Q13,"")</f>
        <v>0</v>
      </c>
    </row>
    <row r="14" spans="1:18" ht="21.75" customHeight="1" x14ac:dyDescent="0.3">
      <c r="A14" s="1" t="str">
        <f>Setup!B21</f>
        <v>Ali Zaman</v>
      </c>
      <c r="B14" s="40">
        <f>IF(Setup!B21&lt;&gt;"",Setup!C21,"")</f>
        <v>75000</v>
      </c>
      <c r="C14" s="41">
        <f>IF(Setup!B21&lt;&gt;"",$B3,"")</f>
        <v>208</v>
      </c>
      <c r="D14" s="42">
        <f>IF(Setup!B21&lt;&gt;"",Attendance_Sep!K38,"")</f>
        <v>0</v>
      </c>
      <c r="E14" s="41">
        <f>IF(Setup!B21&lt;&gt;"",Attendance_Sep!K39,"")</f>
        <v>0</v>
      </c>
      <c r="F14" s="43">
        <f>IFERROR(IF(Setup!B21&lt;&gt;"",B14/C14,""),"")</f>
        <v>360.57692307692309</v>
      </c>
      <c r="G14" s="42">
        <f>IF(Setup!B21&lt;&gt;"",MIN(D14,C14),"")</f>
        <v>0</v>
      </c>
      <c r="H14" s="42">
        <f>IF(Setup!B21&lt;&gt;"",MAX(D14-C14,0),"")</f>
        <v>0</v>
      </c>
      <c r="I14" s="16">
        <f>IF(Setup!B21&lt;&gt;"",F14*G14,"")</f>
        <v>0</v>
      </c>
      <c r="J14" s="16">
        <f>IF(Setup!B21&lt;&gt;"",F14*H14*$B4,"")</f>
        <v>0</v>
      </c>
      <c r="K14" s="16">
        <f>IF(Setup!B21&lt;&gt;"",IF(E14=0,$B5,0),"")</f>
        <v>0</v>
      </c>
      <c r="L14" s="44">
        <f>IF(Setup!B21&lt;&gt;"",I14+J14+K14,"")</f>
        <v>0</v>
      </c>
      <c r="M14" s="16">
        <f>IF(Setup!B21&lt;&gt;"",Payroll_Aug!P14,"")</f>
        <v>20000</v>
      </c>
      <c r="N14" s="46">
        <v>0</v>
      </c>
      <c r="O14" s="46">
        <v>0</v>
      </c>
      <c r="P14" s="44">
        <f>IF(Setup!B21&lt;&gt;"",M14+N14-O14,"")</f>
        <v>20000</v>
      </c>
      <c r="Q14" s="46">
        <v>0</v>
      </c>
      <c r="R14" s="47">
        <f>IF(Setup!B21&lt;&gt;"",L14-O14-Q14,"")</f>
        <v>0</v>
      </c>
    </row>
    <row r="15" spans="1:18" ht="21.75" customHeight="1" x14ac:dyDescent="0.3">
      <c r="A15" s="18" t="str">
        <f>Setup!B22</f>
        <v>Awais Ali</v>
      </c>
      <c r="B15" s="48">
        <f>IF(Setup!B22&lt;&gt;"",Setup!C22,"")</f>
        <v>25000</v>
      </c>
      <c r="C15" s="49">
        <f>IF(Setup!B22&lt;&gt;"",$B3,"")</f>
        <v>208</v>
      </c>
      <c r="D15" s="50">
        <f>IF(Setup!B22&lt;&gt;"",Attendance_Sep!L38,"")</f>
        <v>0</v>
      </c>
      <c r="E15" s="49">
        <f>IF(Setup!B22&lt;&gt;"",Attendance_Sep!L39,"")</f>
        <v>0</v>
      </c>
      <c r="F15" s="51">
        <f>IFERROR(IF(Setup!B22&lt;&gt;"",B15/C15,""),"")</f>
        <v>120.19230769230769</v>
      </c>
      <c r="G15" s="50">
        <f>IF(Setup!B22&lt;&gt;"",MIN(D15,C15),"")</f>
        <v>0</v>
      </c>
      <c r="H15" s="50">
        <f>IF(Setup!B22&lt;&gt;"",MAX(D15-C15,0),"")</f>
        <v>0</v>
      </c>
      <c r="I15" s="19">
        <f>IF(Setup!B22&lt;&gt;"",F15*G15,"")</f>
        <v>0</v>
      </c>
      <c r="J15" s="19">
        <f>IF(Setup!B22&lt;&gt;"",F15*H15*$B4,"")</f>
        <v>0</v>
      </c>
      <c r="K15" s="19">
        <f>IF(Setup!B22&lt;&gt;"",IF(E15=0,$B5,0),"")</f>
        <v>0</v>
      </c>
      <c r="L15" s="52">
        <f>IF(Setup!B22&lt;&gt;"",I15+J15+K15,"")</f>
        <v>0</v>
      </c>
      <c r="M15" s="19">
        <f>IF(Setup!B22&lt;&gt;"",Payroll_Aug!P15,"")</f>
        <v>0</v>
      </c>
      <c r="N15" s="46">
        <v>0</v>
      </c>
      <c r="O15" s="46">
        <v>0</v>
      </c>
      <c r="P15" s="52">
        <f>IF(Setup!B22&lt;&gt;"",M15+N15-O15,"")</f>
        <v>0</v>
      </c>
      <c r="Q15" s="46">
        <v>0</v>
      </c>
      <c r="R15" s="47">
        <f>IF(Setup!B22&lt;&gt;"",L15-O15-Q15,"")</f>
        <v>0</v>
      </c>
    </row>
    <row r="16" spans="1:18" ht="21.75" customHeight="1" x14ac:dyDescent="0.3">
      <c r="A16" s="1" t="str">
        <f>Setup!B23</f>
        <v>Ishtiaq</v>
      </c>
      <c r="B16" s="40">
        <f>IF(Setup!B23&lt;&gt;"",Setup!C23,"")</f>
        <v>25000</v>
      </c>
      <c r="C16" s="41">
        <f>IF(Setup!B23&lt;&gt;"",$B3,"")</f>
        <v>208</v>
      </c>
      <c r="D16" s="42">
        <f>IF(Setup!B23&lt;&gt;"",Attendance_Sep!M38,"")</f>
        <v>0</v>
      </c>
      <c r="E16" s="41">
        <f>IF(Setup!B23&lt;&gt;"",Attendance_Sep!M39,"")</f>
        <v>0</v>
      </c>
      <c r="F16" s="43">
        <f>IFERROR(IF(Setup!B23&lt;&gt;"",B16/C16,""),"")</f>
        <v>120.19230769230769</v>
      </c>
      <c r="G16" s="42">
        <f>IF(Setup!B23&lt;&gt;"",MIN(D16,C16),"")</f>
        <v>0</v>
      </c>
      <c r="H16" s="42">
        <f>IF(Setup!B23&lt;&gt;"",MAX(D16-C16,0),"")</f>
        <v>0</v>
      </c>
      <c r="I16" s="16">
        <f>IF(Setup!B23&lt;&gt;"",F16*G16,"")</f>
        <v>0</v>
      </c>
      <c r="J16" s="16">
        <f>IF(Setup!B23&lt;&gt;"",F16*H16*$B4,"")</f>
        <v>0</v>
      </c>
      <c r="K16" s="16">
        <f>IF(Setup!B23&lt;&gt;"",IF(E16=0,$B5,0),"")</f>
        <v>0</v>
      </c>
      <c r="L16" s="44">
        <f>IF(Setup!B23&lt;&gt;"",I16+J16+K16,"")</f>
        <v>0</v>
      </c>
      <c r="M16" s="16">
        <f>IF(Setup!B23&lt;&gt;"",Payroll_Aug!P16,"")</f>
        <v>0</v>
      </c>
      <c r="N16" s="46">
        <v>0</v>
      </c>
      <c r="O16" s="46">
        <v>0</v>
      </c>
      <c r="P16" s="44">
        <f>IF(Setup!B23&lt;&gt;"",M16+N16-O16,"")</f>
        <v>0</v>
      </c>
      <c r="Q16" s="46">
        <v>0</v>
      </c>
      <c r="R16" s="47">
        <f>IF(Setup!B23&lt;&gt;"",L16-O16-Q16,"")</f>
        <v>0</v>
      </c>
    </row>
    <row r="17" spans="1:18" ht="21.75" customHeight="1" x14ac:dyDescent="0.3">
      <c r="A17" s="18" t="str">
        <f>Setup!B24</f>
        <v>Usama bhai</v>
      </c>
      <c r="B17" s="48">
        <f>IF(Setup!B24&lt;&gt;"",Setup!C24,"")</f>
        <v>50000</v>
      </c>
      <c r="C17" s="49">
        <f>IF(Setup!B24&lt;&gt;"",$B3,"")</f>
        <v>208</v>
      </c>
      <c r="D17" s="50">
        <f>IF(Setup!B24&lt;&gt;"",Attendance_Sep!N38,"")</f>
        <v>0</v>
      </c>
      <c r="E17" s="49">
        <f>IF(Setup!B24&lt;&gt;"",Attendance_Sep!N39,"")</f>
        <v>0</v>
      </c>
      <c r="F17" s="51">
        <f>IFERROR(IF(Setup!B24&lt;&gt;"",B17/C17,""),"")</f>
        <v>240.38461538461539</v>
      </c>
      <c r="G17" s="50">
        <f>IF(Setup!B24&lt;&gt;"",MIN(D17,C17),"")</f>
        <v>0</v>
      </c>
      <c r="H17" s="50">
        <f>IF(Setup!B24&lt;&gt;"",MAX(D17-C17,0),"")</f>
        <v>0</v>
      </c>
      <c r="I17" s="19">
        <f>IF(Setup!B24&lt;&gt;"",F17*G17,"")</f>
        <v>0</v>
      </c>
      <c r="J17" s="19">
        <f>IF(Setup!B24&lt;&gt;"",F17*H17*$B4,"")</f>
        <v>0</v>
      </c>
      <c r="K17" s="19">
        <f>IF(Setup!B24&lt;&gt;"",IF(E17=0,$B5,0),"")</f>
        <v>0</v>
      </c>
      <c r="L17" s="52">
        <f>IF(Setup!B24&lt;&gt;"",I17+J17+K17,"")</f>
        <v>0</v>
      </c>
      <c r="M17" s="19">
        <f>IF(Setup!B24&lt;&gt;"",Payroll_Aug!P17,"")</f>
        <v>0</v>
      </c>
      <c r="N17" s="46">
        <v>0</v>
      </c>
      <c r="O17" s="46">
        <v>0</v>
      </c>
      <c r="P17" s="52">
        <f>IF(Setup!B24&lt;&gt;"",M17+N17-O17,"")</f>
        <v>0</v>
      </c>
      <c r="Q17" s="46">
        <v>0</v>
      </c>
      <c r="R17" s="47">
        <f>IF(Setup!B24&lt;&gt;"",L17-O17-Q17,"")</f>
        <v>0</v>
      </c>
    </row>
    <row r="18" spans="1:18" ht="21.75" customHeight="1" x14ac:dyDescent="0.3">
      <c r="A18" s="1" t="str">
        <f>Setup!B25</f>
        <v>Ahtisham</v>
      </c>
      <c r="B18" s="40">
        <f>IF(Setup!B25&lt;&gt;"",Setup!C25,"")</f>
        <v>10000</v>
      </c>
      <c r="C18" s="41">
        <f>IF(Setup!B25&lt;&gt;"",$B3,"")</f>
        <v>208</v>
      </c>
      <c r="D18" s="42">
        <f>IF(Setup!B25&lt;&gt;"",Attendance_Sep!O38,"")</f>
        <v>0</v>
      </c>
      <c r="E18" s="41">
        <f>IF(Setup!B25&lt;&gt;"",Attendance_Sep!O39,"")</f>
        <v>0</v>
      </c>
      <c r="F18" s="43">
        <f>IFERROR(IF(Setup!B25&lt;&gt;"",B18/C18,""),"")</f>
        <v>48.07692307692308</v>
      </c>
      <c r="G18" s="42">
        <f>IF(Setup!B25&lt;&gt;"",MIN(D18,C18),"")</f>
        <v>0</v>
      </c>
      <c r="H18" s="42">
        <f>IF(Setup!B25&lt;&gt;"",MAX(D18-C18,0),"")</f>
        <v>0</v>
      </c>
      <c r="I18" s="16">
        <f>IF(Setup!B25&lt;&gt;"",F18*G18,"")</f>
        <v>0</v>
      </c>
      <c r="J18" s="16">
        <f>IF(Setup!B25&lt;&gt;"",F18*H18*$B4,"")</f>
        <v>0</v>
      </c>
      <c r="K18" s="16">
        <f>IF(Setup!B25&lt;&gt;"",IF(E18=0,$B5,0),"")</f>
        <v>0</v>
      </c>
      <c r="L18" s="44">
        <f>IF(Setup!B25&lt;&gt;"",I18+J18+K18,"")</f>
        <v>0</v>
      </c>
      <c r="M18" s="16">
        <f>IF(Setup!B25&lt;&gt;"",Payroll_Aug!P18,"")</f>
        <v>0</v>
      </c>
      <c r="N18" s="46">
        <v>0</v>
      </c>
      <c r="O18" s="46">
        <v>0</v>
      </c>
      <c r="P18" s="44">
        <f>IF(Setup!B25&lt;&gt;"",M18+N18-O18,"")</f>
        <v>0</v>
      </c>
      <c r="Q18" s="46">
        <v>0</v>
      </c>
      <c r="R18" s="47">
        <f>IF(Setup!B25&lt;&gt;"",L18-O18-Q18,"")</f>
        <v>0</v>
      </c>
    </row>
    <row r="19" spans="1:18" ht="21.75" customHeight="1" x14ac:dyDescent="0.3">
      <c r="A19" s="18" t="str">
        <f>Setup!B26</f>
        <v>Factory rent</v>
      </c>
      <c r="B19" s="48">
        <f>IF(Setup!B26&lt;&gt;"",Setup!C26,"")</f>
        <v>77000</v>
      </c>
      <c r="C19" s="49">
        <f>IF(Setup!B26&lt;&gt;"",$B3,"")</f>
        <v>208</v>
      </c>
      <c r="D19" s="50">
        <f>IF(Setup!B26&lt;&gt;"",Attendance_Sep!P38,"")</f>
        <v>0</v>
      </c>
      <c r="E19" s="49">
        <f>IF(Setup!B26&lt;&gt;"",Attendance_Sep!P39,"")</f>
        <v>0</v>
      </c>
      <c r="F19" s="51">
        <f>IFERROR(IF(Setup!B26&lt;&gt;"",B19/C19,""),"")</f>
        <v>370.19230769230768</v>
      </c>
      <c r="G19" s="50">
        <f>IF(Setup!B26&lt;&gt;"",MIN(D19,C19),"")</f>
        <v>0</v>
      </c>
      <c r="H19" s="50">
        <f>IF(Setup!B26&lt;&gt;"",MAX(D19-C19,0),"")</f>
        <v>0</v>
      </c>
      <c r="I19" s="19">
        <f>IF(Setup!B26&lt;&gt;"",F19*G19,"")</f>
        <v>0</v>
      </c>
      <c r="J19" s="19">
        <f>IF(Setup!B26&lt;&gt;"",F19*H19*$B4,"")</f>
        <v>0</v>
      </c>
      <c r="K19" s="19">
        <f>IF(Setup!B26&lt;&gt;"",IF(E19=0,$B5,0),"")</f>
        <v>0</v>
      </c>
      <c r="L19" s="52">
        <f>IF(Setup!B26&lt;&gt;"",I19+J19+K19,"")</f>
        <v>0</v>
      </c>
      <c r="M19" s="19">
        <f>IF(Setup!B26&lt;&gt;"",Payroll_Aug!P19,"")</f>
        <v>0</v>
      </c>
      <c r="N19" s="46">
        <v>0</v>
      </c>
      <c r="O19" s="46">
        <v>0</v>
      </c>
      <c r="P19" s="52">
        <f>IF(Setup!B26&lt;&gt;"",M19+N19-O19,"")</f>
        <v>0</v>
      </c>
      <c r="Q19" s="46">
        <v>0</v>
      </c>
      <c r="R19" s="47">
        <f>IF(Setup!B26&lt;&gt;"",L19-O19-Q19,"")</f>
        <v>0</v>
      </c>
    </row>
    <row r="20" spans="1:18" ht="21.75" customHeight="1" x14ac:dyDescent="0.3">
      <c r="A20" s="1" t="str">
        <f>Setup!B27</f>
        <v>Internet bill</v>
      </c>
      <c r="B20" s="40">
        <f>IF(Setup!B27&lt;&gt;"",Setup!C27,"")</f>
        <v>2500</v>
      </c>
      <c r="C20" s="41">
        <f>IF(Setup!B27&lt;&gt;"",$B3,"")</f>
        <v>208</v>
      </c>
      <c r="D20" s="42">
        <f>IF(Setup!B27&lt;&gt;"",Attendance_Sep!Q38,"")</f>
        <v>0</v>
      </c>
      <c r="E20" s="41">
        <f>IF(Setup!B27&lt;&gt;"",Attendance_Sep!Q39,"")</f>
        <v>0</v>
      </c>
      <c r="F20" s="43">
        <f>IFERROR(IF(Setup!B27&lt;&gt;"",B20/C20,""),"")</f>
        <v>12.01923076923077</v>
      </c>
      <c r="G20" s="42">
        <f>IF(Setup!B27&lt;&gt;"",MIN(D20,C20),"")</f>
        <v>0</v>
      </c>
      <c r="H20" s="42">
        <f>IF(Setup!B27&lt;&gt;"",MAX(D20-C20,0),"")</f>
        <v>0</v>
      </c>
      <c r="I20" s="16">
        <f>IF(Setup!B27&lt;&gt;"",F20*G20,"")</f>
        <v>0</v>
      </c>
      <c r="J20" s="16">
        <f>IF(Setup!B27&lt;&gt;"",F20*H20*$B4,"")</f>
        <v>0</v>
      </c>
      <c r="K20" s="16">
        <f>IF(Setup!B27&lt;&gt;"",IF(E20=0,$B5,0),"")</f>
        <v>0</v>
      </c>
      <c r="L20" s="44">
        <f>IF(Setup!B27&lt;&gt;"",I20+J20+K20,"")</f>
        <v>0</v>
      </c>
      <c r="M20" s="16">
        <f>IF(Setup!B27&lt;&gt;"",Payroll_Aug!P20,"")</f>
        <v>0</v>
      </c>
      <c r="N20" s="46">
        <v>0</v>
      </c>
      <c r="O20" s="46">
        <v>0</v>
      </c>
      <c r="P20" s="44">
        <f>IF(Setup!B27&lt;&gt;"",M20+N20-O20,"")</f>
        <v>0</v>
      </c>
      <c r="Q20" s="46">
        <v>0</v>
      </c>
      <c r="R20" s="47">
        <f>IF(Setup!B27&lt;&gt;"",L20-O20-Q20,"")</f>
        <v>0</v>
      </c>
    </row>
    <row r="21" spans="1:18" ht="21.75" customHeight="1" x14ac:dyDescent="0.3">
      <c r="A21" s="18" t="str">
        <f>Setup!B28</f>
        <v>Saqab</v>
      </c>
      <c r="B21" s="48">
        <f>IF(Setup!B28&lt;&gt;"",Setup!C28,"")</f>
        <v>25000</v>
      </c>
      <c r="C21" s="49">
        <f>IF(Setup!B28&lt;&gt;"",$B3,"")</f>
        <v>208</v>
      </c>
      <c r="D21" s="50">
        <f>IF(Setup!B28&lt;&gt;"",Attendance_Sep!R38,"")</f>
        <v>0</v>
      </c>
      <c r="E21" s="49">
        <f>IF(Setup!B28&lt;&gt;"",Attendance_Sep!R39,"")</f>
        <v>0</v>
      </c>
      <c r="F21" s="51">
        <f>IFERROR(IF(Setup!B28&lt;&gt;"",B21/C21,""),"")</f>
        <v>120.19230769230769</v>
      </c>
      <c r="G21" s="50">
        <f>IF(Setup!B28&lt;&gt;"",MIN(D21,C21),"")</f>
        <v>0</v>
      </c>
      <c r="H21" s="50">
        <f>IF(Setup!B28&lt;&gt;"",MAX(D21-C21,0),"")</f>
        <v>0</v>
      </c>
      <c r="I21" s="19">
        <f>IF(Setup!B28&lt;&gt;"",F21*G21,"")</f>
        <v>0</v>
      </c>
      <c r="J21" s="19">
        <f>IF(Setup!B28&lt;&gt;"",F21*H21*$B4,"")</f>
        <v>0</v>
      </c>
      <c r="K21" s="19">
        <f>IF(Setup!B28&lt;&gt;"",IF(E21=0,$B5,0),"")</f>
        <v>0</v>
      </c>
      <c r="L21" s="52">
        <f>IF(Setup!B28&lt;&gt;"",I21+J21+K21,"")</f>
        <v>0</v>
      </c>
      <c r="M21" s="19">
        <f>IF(Setup!B28&lt;&gt;"",Payroll_Aug!P21,"")</f>
        <v>0</v>
      </c>
      <c r="N21" s="46">
        <v>0</v>
      </c>
      <c r="O21" s="46">
        <v>0</v>
      </c>
      <c r="P21" s="52">
        <f>IF(Setup!B28&lt;&gt;"",M21+N21-O21,"")</f>
        <v>0</v>
      </c>
      <c r="Q21" s="46">
        <v>0</v>
      </c>
      <c r="R21" s="47">
        <f>IF(Setup!B28&lt;&gt;"",L21-O21-Q21,"")</f>
        <v>0</v>
      </c>
    </row>
    <row r="22" spans="1:18" ht="21.75" customHeight="1" x14ac:dyDescent="0.3">
      <c r="A22" s="1">
        <f>Setup!B29</f>
        <v>0</v>
      </c>
      <c r="B22" s="40" t="str">
        <f>IF(Setup!B29&lt;&gt;"",Setup!C29,"")</f>
        <v/>
      </c>
      <c r="C22" s="41" t="str">
        <f>IF(Setup!B29&lt;&gt;"",$B3,"")</f>
        <v/>
      </c>
      <c r="D22" s="42" t="str">
        <f>IF(Setup!B29&lt;&gt;"",Attendance_Sep!S38,"")</f>
        <v/>
      </c>
      <c r="E22" s="41" t="str">
        <f>IF(Setup!B29&lt;&gt;"",Attendance_Sep!S39,"")</f>
        <v/>
      </c>
      <c r="F22" s="43" t="str">
        <f>IFERROR(IF(Setup!B29&lt;&gt;"",B22/C22,""),"")</f>
        <v/>
      </c>
      <c r="G22" s="42" t="str">
        <f>IF(Setup!B29&lt;&gt;"",MIN(D22,C22),"")</f>
        <v/>
      </c>
      <c r="H22" s="42" t="str">
        <f>IF(Setup!B29&lt;&gt;"",MAX(D22-C22,0),"")</f>
        <v/>
      </c>
      <c r="I22" s="16" t="str">
        <f>IF(Setup!B29&lt;&gt;"",F22*G22,"")</f>
        <v/>
      </c>
      <c r="J22" s="16" t="str">
        <f>IF(Setup!B29&lt;&gt;"",F22*H22*$B4,"")</f>
        <v/>
      </c>
      <c r="K22" s="16" t="str">
        <f>IF(Setup!B29&lt;&gt;"",IF(E22=0,$B5,0),"")</f>
        <v/>
      </c>
      <c r="L22" s="44" t="str">
        <f>IF(Setup!B29&lt;&gt;"",I22+J22+K22,"")</f>
        <v/>
      </c>
      <c r="M22" s="16" t="str">
        <f>IF(Setup!B29&lt;&gt;"",Payroll_Aug!P22,"")</f>
        <v/>
      </c>
      <c r="N22" s="46">
        <v>0</v>
      </c>
      <c r="O22" s="46">
        <v>0</v>
      </c>
      <c r="P22" s="44" t="str">
        <f>IF(Setup!B29&lt;&gt;"",M22+N22-O22,"")</f>
        <v/>
      </c>
      <c r="Q22" s="46">
        <v>0</v>
      </c>
      <c r="R22" s="47" t="str">
        <f>IF(Setup!B29&lt;&gt;"",L22-O22-Q22,"")</f>
        <v/>
      </c>
    </row>
    <row r="23" spans="1:18" ht="21.75" customHeight="1" x14ac:dyDescent="0.3">
      <c r="A23" s="18">
        <f>Setup!B30</f>
        <v>0</v>
      </c>
      <c r="B23" s="48" t="str">
        <f>IF(Setup!B30&lt;&gt;"",Setup!C30,"")</f>
        <v/>
      </c>
      <c r="C23" s="49" t="str">
        <f>IF(Setup!B30&lt;&gt;"",$B3,"")</f>
        <v/>
      </c>
      <c r="D23" s="50" t="str">
        <f>IF(Setup!B30&lt;&gt;"",Attendance_Sep!T38,"")</f>
        <v/>
      </c>
      <c r="E23" s="49" t="str">
        <f>IF(Setup!B30&lt;&gt;"",Attendance_Sep!T39,"")</f>
        <v/>
      </c>
      <c r="F23" s="51" t="str">
        <f>IFERROR(IF(Setup!B30&lt;&gt;"",B23/C23,""),"")</f>
        <v/>
      </c>
      <c r="G23" s="50" t="str">
        <f>IF(Setup!B30&lt;&gt;"",MIN(D23,C23),"")</f>
        <v/>
      </c>
      <c r="H23" s="50" t="str">
        <f>IF(Setup!B30&lt;&gt;"",MAX(D23-C23,0),"")</f>
        <v/>
      </c>
      <c r="I23" s="19" t="str">
        <f>IF(Setup!B30&lt;&gt;"",F23*G23,"")</f>
        <v/>
      </c>
      <c r="J23" s="19" t="str">
        <f>IF(Setup!B30&lt;&gt;"",F23*H23*$B4,"")</f>
        <v/>
      </c>
      <c r="K23" s="19" t="str">
        <f>IF(Setup!B30&lt;&gt;"",IF(E23=0,$B5,0),"")</f>
        <v/>
      </c>
      <c r="L23" s="52" t="str">
        <f>IF(Setup!B30&lt;&gt;"",I23+J23+K23,"")</f>
        <v/>
      </c>
      <c r="M23" s="19" t="str">
        <f>IF(Setup!B30&lt;&gt;"",Payroll_Aug!P23,"")</f>
        <v/>
      </c>
      <c r="N23" s="46">
        <v>0</v>
      </c>
      <c r="O23" s="46">
        <v>0</v>
      </c>
      <c r="P23" s="52" t="str">
        <f>IF(Setup!B30&lt;&gt;"",M23+N23-O23,"")</f>
        <v/>
      </c>
      <c r="Q23" s="46">
        <v>0</v>
      </c>
      <c r="R23" s="47" t="str">
        <f>IF(Setup!B30&lt;&gt;"",L23-O23-Q23,"")</f>
        <v/>
      </c>
    </row>
    <row r="24" spans="1:18" ht="21.75" customHeight="1" x14ac:dyDescent="0.3">
      <c r="A24" s="1">
        <f>Setup!B31</f>
        <v>0</v>
      </c>
      <c r="B24" s="40" t="str">
        <f>IF(Setup!B31&lt;&gt;"",Setup!C31,"")</f>
        <v/>
      </c>
      <c r="C24" s="41" t="str">
        <f>IF(Setup!B31&lt;&gt;"",$B3,"")</f>
        <v/>
      </c>
      <c r="D24" s="42" t="str">
        <f>IF(Setup!B31&lt;&gt;"",Attendance_Sep!U38,"")</f>
        <v/>
      </c>
      <c r="E24" s="41" t="str">
        <f>IF(Setup!B31&lt;&gt;"",Attendance_Sep!U39,"")</f>
        <v/>
      </c>
      <c r="F24" s="43" t="str">
        <f>IFERROR(IF(Setup!B31&lt;&gt;"",B24/C24,""),"")</f>
        <v/>
      </c>
      <c r="G24" s="42" t="str">
        <f>IF(Setup!B31&lt;&gt;"",MIN(D24,C24),"")</f>
        <v/>
      </c>
      <c r="H24" s="42" t="str">
        <f>IF(Setup!B31&lt;&gt;"",MAX(D24-C24,0),"")</f>
        <v/>
      </c>
      <c r="I24" s="16" t="str">
        <f>IF(Setup!B31&lt;&gt;"",F24*G24,"")</f>
        <v/>
      </c>
      <c r="J24" s="16" t="str">
        <f>IF(Setup!B31&lt;&gt;"",F24*H24*$B4,"")</f>
        <v/>
      </c>
      <c r="K24" s="16" t="str">
        <f>IF(Setup!B31&lt;&gt;"",IF(E24=0,$B5,0),"")</f>
        <v/>
      </c>
      <c r="L24" s="44" t="str">
        <f>IF(Setup!B31&lt;&gt;"",I24+J24+K24,"")</f>
        <v/>
      </c>
      <c r="M24" s="16" t="str">
        <f>IF(Setup!B31&lt;&gt;"",Payroll_Aug!P24,"")</f>
        <v/>
      </c>
      <c r="N24" s="46">
        <v>0</v>
      </c>
      <c r="O24" s="46">
        <v>0</v>
      </c>
      <c r="P24" s="44" t="str">
        <f>IF(Setup!B31&lt;&gt;"",M24+N24-O24,"")</f>
        <v/>
      </c>
      <c r="Q24" s="46">
        <v>0</v>
      </c>
      <c r="R24" s="47" t="str">
        <f>IF(Setup!B31&lt;&gt;"",L24-O24-Q24,"")</f>
        <v/>
      </c>
    </row>
    <row r="25" spans="1:18" ht="21.75" customHeight="1" x14ac:dyDescent="0.3">
      <c r="A25" s="18">
        <f>Setup!B32</f>
        <v>0</v>
      </c>
      <c r="B25" s="48" t="str">
        <f>IF(Setup!B32&lt;&gt;"",Setup!C32,"")</f>
        <v/>
      </c>
      <c r="C25" s="49" t="str">
        <f>IF(Setup!B32&lt;&gt;"",$B3,"")</f>
        <v/>
      </c>
      <c r="D25" s="50" t="str">
        <f>IF(Setup!B32&lt;&gt;"",Attendance_Sep!V38,"")</f>
        <v/>
      </c>
      <c r="E25" s="49" t="str">
        <f>IF(Setup!B32&lt;&gt;"",Attendance_Sep!V39,"")</f>
        <v/>
      </c>
      <c r="F25" s="51" t="str">
        <f>IFERROR(IF(Setup!B32&lt;&gt;"",B25/C25,""),"")</f>
        <v/>
      </c>
      <c r="G25" s="50" t="str">
        <f>IF(Setup!B32&lt;&gt;"",MIN(D25,C25),"")</f>
        <v/>
      </c>
      <c r="H25" s="50" t="str">
        <f>IF(Setup!B32&lt;&gt;"",MAX(D25-C25,0),"")</f>
        <v/>
      </c>
      <c r="I25" s="19" t="str">
        <f>IF(Setup!B32&lt;&gt;"",F25*G25,"")</f>
        <v/>
      </c>
      <c r="J25" s="19" t="str">
        <f>IF(Setup!B32&lt;&gt;"",F25*H25*$B4,"")</f>
        <v/>
      </c>
      <c r="K25" s="19" t="str">
        <f>IF(Setup!B32&lt;&gt;"",IF(E25=0,$B5,0),"")</f>
        <v/>
      </c>
      <c r="L25" s="52" t="str">
        <f>IF(Setup!B32&lt;&gt;"",I25+J25+K25,"")</f>
        <v/>
      </c>
      <c r="M25" s="19" t="str">
        <f>IF(Setup!B32&lt;&gt;"",Payroll_Aug!P25,"")</f>
        <v/>
      </c>
      <c r="N25" s="46">
        <v>0</v>
      </c>
      <c r="O25" s="46">
        <v>0</v>
      </c>
      <c r="P25" s="52" t="str">
        <f>IF(Setup!B32&lt;&gt;"",M25+N25-O25,"")</f>
        <v/>
      </c>
      <c r="Q25" s="46">
        <v>0</v>
      </c>
      <c r="R25" s="47" t="str">
        <f>IF(Setup!B32&lt;&gt;"",L25-O25-Q25,"")</f>
        <v/>
      </c>
    </row>
    <row r="26" spans="1:18" ht="21.75" customHeight="1" x14ac:dyDescent="0.3">
      <c r="A26" s="1">
        <f>Setup!B33</f>
        <v>0</v>
      </c>
      <c r="B26" s="40" t="str">
        <f>IF(Setup!B33&lt;&gt;"",Setup!C33,"")</f>
        <v/>
      </c>
      <c r="C26" s="41" t="str">
        <f>IF(Setup!B33&lt;&gt;"",$B3,"")</f>
        <v/>
      </c>
      <c r="D26" s="42" t="str">
        <f>IF(Setup!B33&lt;&gt;"",Attendance_Sep!W38,"")</f>
        <v/>
      </c>
      <c r="E26" s="41" t="str">
        <f>IF(Setup!B33&lt;&gt;"",Attendance_Sep!W39,"")</f>
        <v/>
      </c>
      <c r="F26" s="43" t="str">
        <f>IFERROR(IF(Setup!B33&lt;&gt;"",B26/C26,""),"")</f>
        <v/>
      </c>
      <c r="G26" s="42" t="str">
        <f>IF(Setup!B33&lt;&gt;"",MIN(D26,C26),"")</f>
        <v/>
      </c>
      <c r="H26" s="42" t="str">
        <f>IF(Setup!B33&lt;&gt;"",MAX(D26-C26,0),"")</f>
        <v/>
      </c>
      <c r="I26" s="16" t="str">
        <f>IF(Setup!B33&lt;&gt;"",F26*G26,"")</f>
        <v/>
      </c>
      <c r="J26" s="16" t="str">
        <f>IF(Setup!B33&lt;&gt;"",F26*H26*$B4,"")</f>
        <v/>
      </c>
      <c r="K26" s="16" t="str">
        <f>IF(Setup!B33&lt;&gt;"",IF(E26=0,$B5,0),"")</f>
        <v/>
      </c>
      <c r="L26" s="44" t="str">
        <f>IF(Setup!B33&lt;&gt;"",I26+J26+K26,"")</f>
        <v/>
      </c>
      <c r="M26" s="16" t="str">
        <f>IF(Setup!B33&lt;&gt;"",Payroll_Aug!P26,"")</f>
        <v/>
      </c>
      <c r="N26" s="46">
        <v>0</v>
      </c>
      <c r="O26" s="46">
        <v>0</v>
      </c>
      <c r="P26" s="44" t="str">
        <f>IF(Setup!B33&lt;&gt;"",M26+N26-O26,"")</f>
        <v/>
      </c>
      <c r="Q26" s="46">
        <v>0</v>
      </c>
      <c r="R26" s="47" t="str">
        <f>IF(Setup!B33&lt;&gt;"",L26-O26-Q26,"")</f>
        <v/>
      </c>
    </row>
    <row r="27" spans="1:18" ht="21.75" customHeight="1" x14ac:dyDescent="0.3">
      <c r="A27" s="18">
        <f>Setup!B34</f>
        <v>0</v>
      </c>
      <c r="B27" s="48" t="str">
        <f>IF(Setup!B34&lt;&gt;"",Setup!C34,"")</f>
        <v/>
      </c>
      <c r="C27" s="49" t="str">
        <f>IF(Setup!B34&lt;&gt;"",$B3,"")</f>
        <v/>
      </c>
      <c r="D27" s="50" t="str">
        <f>IF(Setup!B34&lt;&gt;"",Attendance_Sep!X38,"")</f>
        <v/>
      </c>
      <c r="E27" s="49" t="str">
        <f>IF(Setup!B34&lt;&gt;"",Attendance_Sep!X39,"")</f>
        <v/>
      </c>
      <c r="F27" s="51" t="str">
        <f>IFERROR(IF(Setup!B34&lt;&gt;"",B27/C27,""),"")</f>
        <v/>
      </c>
      <c r="G27" s="50" t="str">
        <f>IF(Setup!B34&lt;&gt;"",MIN(D27,C27),"")</f>
        <v/>
      </c>
      <c r="H27" s="50" t="str">
        <f>IF(Setup!B34&lt;&gt;"",MAX(D27-C27,0),"")</f>
        <v/>
      </c>
      <c r="I27" s="19" t="str">
        <f>IF(Setup!B34&lt;&gt;"",F27*G27,"")</f>
        <v/>
      </c>
      <c r="J27" s="19" t="str">
        <f>IF(Setup!B34&lt;&gt;"",F27*H27*$B4,"")</f>
        <v/>
      </c>
      <c r="K27" s="19" t="str">
        <f>IF(Setup!B34&lt;&gt;"",IF(E27=0,$B5,0),"")</f>
        <v/>
      </c>
      <c r="L27" s="52" t="str">
        <f>IF(Setup!B34&lt;&gt;"",I27+J27+K27,"")</f>
        <v/>
      </c>
      <c r="M27" s="19" t="str">
        <f>IF(Setup!B34&lt;&gt;"",Payroll_Aug!P27,"")</f>
        <v/>
      </c>
      <c r="N27" s="46">
        <v>0</v>
      </c>
      <c r="O27" s="46">
        <v>0</v>
      </c>
      <c r="P27" s="52" t="str">
        <f>IF(Setup!B34&lt;&gt;"",M27+N27-O27,"")</f>
        <v/>
      </c>
      <c r="Q27" s="46">
        <v>0</v>
      </c>
      <c r="R27" s="47" t="str">
        <f>IF(Setup!B34&lt;&gt;"",L27-O27-Q27,"")</f>
        <v/>
      </c>
    </row>
    <row r="28" spans="1:18" ht="21.75" customHeight="1" x14ac:dyDescent="0.3">
      <c r="A28" s="1">
        <f>Setup!B35</f>
        <v>0</v>
      </c>
      <c r="B28" s="40" t="str">
        <f>IF(Setup!B35&lt;&gt;"",Setup!C35,"")</f>
        <v/>
      </c>
      <c r="C28" s="41" t="str">
        <f>IF(Setup!B35&lt;&gt;"",$B3,"")</f>
        <v/>
      </c>
      <c r="D28" s="42" t="str">
        <f>IF(Setup!B35&lt;&gt;"",Attendance_Sep!Y38,"")</f>
        <v/>
      </c>
      <c r="E28" s="41" t="str">
        <f>IF(Setup!B35&lt;&gt;"",Attendance_Sep!Y39,"")</f>
        <v/>
      </c>
      <c r="F28" s="43" t="str">
        <f>IFERROR(IF(Setup!B35&lt;&gt;"",B28/C28,""),"")</f>
        <v/>
      </c>
      <c r="G28" s="42" t="str">
        <f>IF(Setup!B35&lt;&gt;"",MIN(D28,C28),"")</f>
        <v/>
      </c>
      <c r="H28" s="42" t="str">
        <f>IF(Setup!B35&lt;&gt;"",MAX(D28-C28,0),"")</f>
        <v/>
      </c>
      <c r="I28" s="16" t="str">
        <f>IF(Setup!B35&lt;&gt;"",F28*G28,"")</f>
        <v/>
      </c>
      <c r="J28" s="16" t="str">
        <f>IF(Setup!B35&lt;&gt;"",F28*H28*$B4,"")</f>
        <v/>
      </c>
      <c r="K28" s="16" t="str">
        <f>IF(Setup!B35&lt;&gt;"",IF(E28=0,$B5,0),"")</f>
        <v/>
      </c>
      <c r="L28" s="44" t="str">
        <f>IF(Setup!B35&lt;&gt;"",I28+J28+K28,"")</f>
        <v/>
      </c>
      <c r="M28" s="16" t="str">
        <f>IF(Setup!B35&lt;&gt;"",Payroll_Aug!P28,"")</f>
        <v/>
      </c>
      <c r="N28" s="46">
        <v>0</v>
      </c>
      <c r="O28" s="46">
        <v>0</v>
      </c>
      <c r="P28" s="44" t="str">
        <f>IF(Setup!B35&lt;&gt;"",M28+N28-O28,"")</f>
        <v/>
      </c>
      <c r="Q28" s="46">
        <v>0</v>
      </c>
      <c r="R28" s="47" t="str">
        <f>IF(Setup!B35&lt;&gt;"",L28-O28-Q28,"")</f>
        <v/>
      </c>
    </row>
    <row r="29" spans="1:18" ht="21.75" customHeight="1" x14ac:dyDescent="0.3">
      <c r="A29" s="18">
        <f>Setup!B36</f>
        <v>0</v>
      </c>
      <c r="B29" s="48" t="str">
        <f>IF(Setup!B36&lt;&gt;"",Setup!C36,"")</f>
        <v/>
      </c>
      <c r="C29" s="49" t="str">
        <f>IF(Setup!B36&lt;&gt;"",$B3,"")</f>
        <v/>
      </c>
      <c r="D29" s="50" t="str">
        <f>IF(Setup!B36&lt;&gt;"",Attendance_Sep!Z38,"")</f>
        <v/>
      </c>
      <c r="E29" s="49" t="str">
        <f>IF(Setup!B36&lt;&gt;"",Attendance_Sep!Z39,"")</f>
        <v/>
      </c>
      <c r="F29" s="51" t="str">
        <f>IFERROR(IF(Setup!B36&lt;&gt;"",B29/C29,""),"")</f>
        <v/>
      </c>
      <c r="G29" s="50" t="str">
        <f>IF(Setup!B36&lt;&gt;"",MIN(D29,C29),"")</f>
        <v/>
      </c>
      <c r="H29" s="50" t="str">
        <f>IF(Setup!B36&lt;&gt;"",MAX(D29-C29,0),"")</f>
        <v/>
      </c>
      <c r="I29" s="19" t="str">
        <f>IF(Setup!B36&lt;&gt;"",F29*G29,"")</f>
        <v/>
      </c>
      <c r="J29" s="19" t="str">
        <f>IF(Setup!B36&lt;&gt;"",F29*H29*$B4,"")</f>
        <v/>
      </c>
      <c r="K29" s="19" t="str">
        <f>IF(Setup!B36&lt;&gt;"",IF(E29=0,$B5,0),"")</f>
        <v/>
      </c>
      <c r="L29" s="52" t="str">
        <f>IF(Setup!B36&lt;&gt;"",I29+J29+K29,"")</f>
        <v/>
      </c>
      <c r="M29" s="19" t="str">
        <f>IF(Setup!B36&lt;&gt;"",Payroll_Aug!P29,"")</f>
        <v/>
      </c>
      <c r="N29" s="46">
        <v>0</v>
      </c>
      <c r="O29" s="46">
        <v>0</v>
      </c>
      <c r="P29" s="52" t="str">
        <f>IF(Setup!B36&lt;&gt;"",M29+N29-O29,"")</f>
        <v/>
      </c>
      <c r="Q29" s="46">
        <v>0</v>
      </c>
      <c r="R29" s="47" t="str">
        <f>IF(Setup!B36&lt;&gt;"",L29-O29-Q29,"")</f>
        <v/>
      </c>
    </row>
    <row r="30" spans="1:18" ht="21.75" customHeight="1" x14ac:dyDescent="0.3">
      <c r="A30" s="1">
        <f>Setup!B37</f>
        <v>0</v>
      </c>
      <c r="B30" s="40" t="str">
        <f>IF(Setup!B37&lt;&gt;"",Setup!C37,"")</f>
        <v/>
      </c>
      <c r="C30" s="41" t="str">
        <f>IF(Setup!B37&lt;&gt;"",$B3,"")</f>
        <v/>
      </c>
      <c r="D30" s="42" t="str">
        <f>IF(Setup!B37&lt;&gt;"",Attendance_Sep!AA38,"")</f>
        <v/>
      </c>
      <c r="E30" s="41" t="str">
        <f>IF(Setup!B37&lt;&gt;"",Attendance_Sep!AA39,"")</f>
        <v/>
      </c>
      <c r="F30" s="43" t="str">
        <f>IFERROR(IF(Setup!B37&lt;&gt;"",B30/C30,""),"")</f>
        <v/>
      </c>
      <c r="G30" s="42" t="str">
        <f>IF(Setup!B37&lt;&gt;"",MIN(D30,C30),"")</f>
        <v/>
      </c>
      <c r="H30" s="42" t="str">
        <f>IF(Setup!B37&lt;&gt;"",MAX(D30-C30,0),"")</f>
        <v/>
      </c>
      <c r="I30" s="16" t="str">
        <f>IF(Setup!B37&lt;&gt;"",F30*G30,"")</f>
        <v/>
      </c>
      <c r="J30" s="16" t="str">
        <f>IF(Setup!B37&lt;&gt;"",F30*H30*$B4,"")</f>
        <v/>
      </c>
      <c r="K30" s="16" t="str">
        <f>IF(Setup!B37&lt;&gt;"",IF(E30=0,$B5,0),"")</f>
        <v/>
      </c>
      <c r="L30" s="44" t="str">
        <f>IF(Setup!B37&lt;&gt;"",I30+J30+K30,"")</f>
        <v/>
      </c>
      <c r="M30" s="16" t="str">
        <f>IF(Setup!B37&lt;&gt;"",Payroll_Aug!P30,"")</f>
        <v/>
      </c>
      <c r="N30" s="46">
        <v>0</v>
      </c>
      <c r="O30" s="46">
        <v>0</v>
      </c>
      <c r="P30" s="44" t="str">
        <f>IF(Setup!B37&lt;&gt;"",M30+N30-O30,"")</f>
        <v/>
      </c>
      <c r="Q30" s="46">
        <v>0</v>
      </c>
      <c r="R30" s="47" t="str">
        <f>IF(Setup!B37&lt;&gt;"",L30-O30-Q30,"")</f>
        <v/>
      </c>
    </row>
    <row r="31" spans="1:18" ht="21.75" customHeight="1" x14ac:dyDescent="0.3">
      <c r="A31" s="18">
        <f>Setup!B38</f>
        <v>0</v>
      </c>
      <c r="B31" s="48" t="str">
        <f>IF(Setup!B38&lt;&gt;"",Setup!C38,"")</f>
        <v/>
      </c>
      <c r="C31" s="49" t="str">
        <f>IF(Setup!B38&lt;&gt;"",$B3,"")</f>
        <v/>
      </c>
      <c r="D31" s="50" t="str">
        <f>IF(Setup!B38&lt;&gt;"",Attendance_Sep!AB38,"")</f>
        <v/>
      </c>
      <c r="E31" s="49" t="str">
        <f>IF(Setup!B38&lt;&gt;"",Attendance_Sep!AB39,"")</f>
        <v/>
      </c>
      <c r="F31" s="51" t="str">
        <f>IFERROR(IF(Setup!B38&lt;&gt;"",B31/C31,""),"")</f>
        <v/>
      </c>
      <c r="G31" s="50" t="str">
        <f>IF(Setup!B38&lt;&gt;"",MIN(D31,C31),"")</f>
        <v/>
      </c>
      <c r="H31" s="50" t="str">
        <f>IF(Setup!B38&lt;&gt;"",MAX(D31-C31,0),"")</f>
        <v/>
      </c>
      <c r="I31" s="19" t="str">
        <f>IF(Setup!B38&lt;&gt;"",F31*G31,"")</f>
        <v/>
      </c>
      <c r="J31" s="19" t="str">
        <f>IF(Setup!B38&lt;&gt;"",F31*H31*$B4,"")</f>
        <v/>
      </c>
      <c r="K31" s="19" t="str">
        <f>IF(Setup!B38&lt;&gt;"",IF(E31=0,$B5,0),"")</f>
        <v/>
      </c>
      <c r="L31" s="52" t="str">
        <f>IF(Setup!B38&lt;&gt;"",I31+J31+K31,"")</f>
        <v/>
      </c>
      <c r="M31" s="19" t="str">
        <f>IF(Setup!B38&lt;&gt;"",Payroll_Aug!P31,"")</f>
        <v/>
      </c>
      <c r="N31" s="46">
        <v>0</v>
      </c>
      <c r="O31" s="46">
        <v>0</v>
      </c>
      <c r="P31" s="52" t="str">
        <f>IF(Setup!B38&lt;&gt;"",M31+N31-O31,"")</f>
        <v/>
      </c>
      <c r="Q31" s="46">
        <v>0</v>
      </c>
      <c r="R31" s="47" t="str">
        <f>IF(Setup!B38&lt;&gt;"",L31-O31-Q31,"")</f>
        <v/>
      </c>
    </row>
    <row r="32" spans="1:18" ht="21.75" customHeight="1" x14ac:dyDescent="0.3">
      <c r="A32" s="1">
        <f>Setup!B39</f>
        <v>0</v>
      </c>
      <c r="B32" s="40" t="str">
        <f>IF(Setup!B39&lt;&gt;"",Setup!C39,"")</f>
        <v/>
      </c>
      <c r="C32" s="41" t="str">
        <f>IF(Setup!B39&lt;&gt;"",$B3,"")</f>
        <v/>
      </c>
      <c r="D32" s="42" t="str">
        <f>IF(Setup!B39&lt;&gt;"",Attendance_Sep!AC38,"")</f>
        <v/>
      </c>
      <c r="E32" s="41" t="str">
        <f>IF(Setup!B39&lt;&gt;"",Attendance_Sep!AC39,"")</f>
        <v/>
      </c>
      <c r="F32" s="43" t="str">
        <f>IFERROR(IF(Setup!B39&lt;&gt;"",B32/C32,""),"")</f>
        <v/>
      </c>
      <c r="G32" s="42" t="str">
        <f>IF(Setup!B39&lt;&gt;"",MIN(D32,C32),"")</f>
        <v/>
      </c>
      <c r="H32" s="42" t="str">
        <f>IF(Setup!B39&lt;&gt;"",MAX(D32-C32,0),"")</f>
        <v/>
      </c>
      <c r="I32" s="16" t="str">
        <f>IF(Setup!B39&lt;&gt;"",F32*G32,"")</f>
        <v/>
      </c>
      <c r="J32" s="16" t="str">
        <f>IF(Setup!B39&lt;&gt;"",F32*H32*$B4,"")</f>
        <v/>
      </c>
      <c r="K32" s="16" t="str">
        <f>IF(Setup!B39&lt;&gt;"",IF(E32=0,$B5,0),"")</f>
        <v/>
      </c>
      <c r="L32" s="44" t="str">
        <f>IF(Setup!B39&lt;&gt;"",I32+J32+K32,"")</f>
        <v/>
      </c>
      <c r="M32" s="16" t="str">
        <f>IF(Setup!B39&lt;&gt;"",Payroll_Aug!P32,"")</f>
        <v/>
      </c>
      <c r="N32" s="46">
        <v>0</v>
      </c>
      <c r="O32" s="46">
        <v>0</v>
      </c>
      <c r="P32" s="44" t="str">
        <f>IF(Setup!B39&lt;&gt;"",M32+N32-O32,"")</f>
        <v/>
      </c>
      <c r="Q32" s="46">
        <v>0</v>
      </c>
      <c r="R32" s="47" t="str">
        <f>IF(Setup!B39&lt;&gt;"",L32-O32-Q32,"")</f>
        <v/>
      </c>
    </row>
    <row r="33" spans="1:18" ht="21.75" customHeight="1" x14ac:dyDescent="0.3">
      <c r="A33" s="18">
        <f>Setup!B40</f>
        <v>0</v>
      </c>
      <c r="B33" s="48" t="str">
        <f>IF(Setup!B40&lt;&gt;"",Setup!C40,"")</f>
        <v/>
      </c>
      <c r="C33" s="49" t="str">
        <f>IF(Setup!B40&lt;&gt;"",$B3,"")</f>
        <v/>
      </c>
      <c r="D33" s="50" t="str">
        <f>IF(Setup!B40&lt;&gt;"",Attendance_Sep!AD38,"")</f>
        <v/>
      </c>
      <c r="E33" s="49" t="str">
        <f>IF(Setup!B40&lt;&gt;"",Attendance_Sep!AD39,"")</f>
        <v/>
      </c>
      <c r="F33" s="51" t="str">
        <f>IFERROR(IF(Setup!B40&lt;&gt;"",B33/C33,""),"")</f>
        <v/>
      </c>
      <c r="G33" s="50" t="str">
        <f>IF(Setup!B40&lt;&gt;"",MIN(D33,C33),"")</f>
        <v/>
      </c>
      <c r="H33" s="50" t="str">
        <f>IF(Setup!B40&lt;&gt;"",MAX(D33-C33,0),"")</f>
        <v/>
      </c>
      <c r="I33" s="19" t="str">
        <f>IF(Setup!B40&lt;&gt;"",F33*G33,"")</f>
        <v/>
      </c>
      <c r="J33" s="19" t="str">
        <f>IF(Setup!B40&lt;&gt;"",F33*H33*$B4,"")</f>
        <v/>
      </c>
      <c r="K33" s="19" t="str">
        <f>IF(Setup!B40&lt;&gt;"",IF(E33=0,$B5,0),"")</f>
        <v/>
      </c>
      <c r="L33" s="52" t="str">
        <f>IF(Setup!B40&lt;&gt;"",I33+J33+K33,"")</f>
        <v/>
      </c>
      <c r="M33" s="19" t="str">
        <f>IF(Setup!B40&lt;&gt;"",Payroll_Aug!P33,"")</f>
        <v/>
      </c>
      <c r="N33" s="46">
        <v>0</v>
      </c>
      <c r="O33" s="46">
        <v>0</v>
      </c>
      <c r="P33" s="52" t="str">
        <f>IF(Setup!B40&lt;&gt;"",M33+N33-O33,"")</f>
        <v/>
      </c>
      <c r="Q33" s="46">
        <v>0</v>
      </c>
      <c r="R33" s="47" t="str">
        <f>IF(Setup!B40&lt;&gt;"",L33-O33-Q33,"")</f>
        <v/>
      </c>
    </row>
    <row r="34" spans="1:18" ht="21.75" customHeight="1" x14ac:dyDescent="0.3">
      <c r="A34" s="1">
        <f>Setup!B41</f>
        <v>0</v>
      </c>
      <c r="B34" s="40" t="str">
        <f>IF(Setup!B41&lt;&gt;"",Setup!C41,"")</f>
        <v/>
      </c>
      <c r="C34" s="41" t="str">
        <f>IF(Setup!B41&lt;&gt;"",$B3,"")</f>
        <v/>
      </c>
      <c r="D34" s="42" t="str">
        <f>IF(Setup!B41&lt;&gt;"",Attendance_Sep!AE38,"")</f>
        <v/>
      </c>
      <c r="E34" s="41" t="str">
        <f>IF(Setup!B41&lt;&gt;"",Attendance_Sep!AE39,"")</f>
        <v/>
      </c>
      <c r="F34" s="43" t="str">
        <f>IFERROR(IF(Setup!B41&lt;&gt;"",B34/C34,""),"")</f>
        <v/>
      </c>
      <c r="G34" s="42" t="str">
        <f>IF(Setup!B41&lt;&gt;"",MIN(D34,C34),"")</f>
        <v/>
      </c>
      <c r="H34" s="42" t="str">
        <f>IF(Setup!B41&lt;&gt;"",MAX(D34-C34,0),"")</f>
        <v/>
      </c>
      <c r="I34" s="16" t="str">
        <f>IF(Setup!B41&lt;&gt;"",F34*G34,"")</f>
        <v/>
      </c>
      <c r="J34" s="16" t="str">
        <f>IF(Setup!B41&lt;&gt;"",F34*H34*$B4,"")</f>
        <v/>
      </c>
      <c r="K34" s="16" t="str">
        <f>IF(Setup!B41&lt;&gt;"",IF(E34=0,$B5,0),"")</f>
        <v/>
      </c>
      <c r="L34" s="44" t="str">
        <f>IF(Setup!B41&lt;&gt;"",I34+J34+K34,"")</f>
        <v/>
      </c>
      <c r="M34" s="16" t="str">
        <f>IF(Setup!B41&lt;&gt;"",Payroll_Aug!P34,"")</f>
        <v/>
      </c>
      <c r="N34" s="46">
        <v>0</v>
      </c>
      <c r="O34" s="46">
        <v>0</v>
      </c>
      <c r="P34" s="44" t="str">
        <f>IF(Setup!B41&lt;&gt;"",M34+N34-O34,"")</f>
        <v/>
      </c>
      <c r="Q34" s="46">
        <v>0</v>
      </c>
      <c r="R34" s="47" t="str">
        <f>IF(Setup!B41&lt;&gt;"",L34-O34-Q34,"")</f>
        <v/>
      </c>
    </row>
    <row r="35" spans="1:18" ht="21.75" customHeight="1" x14ac:dyDescent="0.3">
      <c r="A35" s="18">
        <f>Setup!B42</f>
        <v>0</v>
      </c>
      <c r="B35" s="48" t="str">
        <f>IF(Setup!B42&lt;&gt;"",Setup!C42,"")</f>
        <v/>
      </c>
      <c r="C35" s="49" t="str">
        <f>IF(Setup!B42&lt;&gt;"",$B3,"")</f>
        <v/>
      </c>
      <c r="D35" s="50" t="str">
        <f>IF(Setup!B42&lt;&gt;"",Attendance_Sep!AF38,"")</f>
        <v/>
      </c>
      <c r="E35" s="49" t="str">
        <f>IF(Setup!B42&lt;&gt;"",Attendance_Sep!AF39,"")</f>
        <v/>
      </c>
      <c r="F35" s="51" t="str">
        <f>IFERROR(IF(Setup!B42&lt;&gt;"",B35/C35,""),"")</f>
        <v/>
      </c>
      <c r="G35" s="50" t="str">
        <f>IF(Setup!B42&lt;&gt;"",MIN(D35,C35),"")</f>
        <v/>
      </c>
      <c r="H35" s="50" t="str">
        <f>IF(Setup!B42&lt;&gt;"",MAX(D35-C35,0),"")</f>
        <v/>
      </c>
      <c r="I35" s="19" t="str">
        <f>IF(Setup!B42&lt;&gt;"",F35*G35,"")</f>
        <v/>
      </c>
      <c r="J35" s="19" t="str">
        <f>IF(Setup!B42&lt;&gt;"",F35*H35*$B4,"")</f>
        <v/>
      </c>
      <c r="K35" s="19" t="str">
        <f>IF(Setup!B42&lt;&gt;"",IF(E35=0,$B5,0),"")</f>
        <v/>
      </c>
      <c r="L35" s="52" t="str">
        <f>IF(Setup!B42&lt;&gt;"",I35+J35+K35,"")</f>
        <v/>
      </c>
      <c r="M35" s="19" t="str">
        <f>IF(Setup!B42&lt;&gt;"",Payroll_Aug!P35,"")</f>
        <v/>
      </c>
      <c r="N35" s="46">
        <v>0</v>
      </c>
      <c r="O35" s="46">
        <v>0</v>
      </c>
      <c r="P35" s="52" t="str">
        <f>IF(Setup!B42&lt;&gt;"",M35+N35-O35,"")</f>
        <v/>
      </c>
      <c r="Q35" s="46">
        <v>0</v>
      </c>
      <c r="R35" s="47" t="str">
        <f>IF(Setup!B42&lt;&gt;"",L35-O35-Q35,"")</f>
        <v/>
      </c>
    </row>
    <row r="36" spans="1:18" ht="21.75" customHeight="1" x14ac:dyDescent="0.3">
      <c r="A36" s="1">
        <f>Setup!B43</f>
        <v>0</v>
      </c>
      <c r="B36" s="40" t="str">
        <f>IF(Setup!B43&lt;&gt;"",Setup!C43,"")</f>
        <v/>
      </c>
      <c r="C36" s="41" t="str">
        <f>IF(Setup!B43&lt;&gt;"",$B3,"")</f>
        <v/>
      </c>
      <c r="D36" s="42" t="str">
        <f>IF(Setup!B43&lt;&gt;"",Attendance_Sep!AG38,"")</f>
        <v/>
      </c>
      <c r="E36" s="41" t="str">
        <f>IF(Setup!B43&lt;&gt;"",Attendance_Sep!AG39,"")</f>
        <v/>
      </c>
      <c r="F36" s="43" t="str">
        <f>IFERROR(IF(Setup!B43&lt;&gt;"",B36/C36,""),"")</f>
        <v/>
      </c>
      <c r="G36" s="42" t="str">
        <f>IF(Setup!B43&lt;&gt;"",MIN(D36,C36),"")</f>
        <v/>
      </c>
      <c r="H36" s="42" t="str">
        <f>IF(Setup!B43&lt;&gt;"",MAX(D36-C36,0),"")</f>
        <v/>
      </c>
      <c r="I36" s="16" t="str">
        <f>IF(Setup!B43&lt;&gt;"",F36*G36,"")</f>
        <v/>
      </c>
      <c r="J36" s="16" t="str">
        <f>IF(Setup!B43&lt;&gt;"",F36*H36*$B4,"")</f>
        <v/>
      </c>
      <c r="K36" s="16" t="str">
        <f>IF(Setup!B43&lt;&gt;"",IF(E36=0,$B5,0),"")</f>
        <v/>
      </c>
      <c r="L36" s="44" t="str">
        <f>IF(Setup!B43&lt;&gt;"",I36+J36+K36,"")</f>
        <v/>
      </c>
      <c r="M36" s="16" t="str">
        <f>IF(Setup!B43&lt;&gt;"",Payroll_Aug!P36,"")</f>
        <v/>
      </c>
      <c r="N36" s="46">
        <v>0</v>
      </c>
      <c r="O36" s="46">
        <v>0</v>
      </c>
      <c r="P36" s="44" t="str">
        <f>IF(Setup!B43&lt;&gt;"",M36+N36-O36,"")</f>
        <v/>
      </c>
      <c r="Q36" s="46">
        <v>0</v>
      </c>
      <c r="R36" s="47" t="str">
        <f>IF(Setup!B43&lt;&gt;"",L36-O36-Q36,"")</f>
        <v/>
      </c>
    </row>
    <row r="37" spans="1:18" ht="21.75" customHeight="1" x14ac:dyDescent="0.3">
      <c r="A37" s="18">
        <f>Setup!B44</f>
        <v>0</v>
      </c>
      <c r="B37" s="48" t="str">
        <f>IF(Setup!B44&lt;&gt;"",Setup!C44,"")</f>
        <v/>
      </c>
      <c r="C37" s="49" t="str">
        <f>IF(Setup!B44&lt;&gt;"",$B3,"")</f>
        <v/>
      </c>
      <c r="D37" s="50" t="str">
        <f>IF(Setup!B44&lt;&gt;"",Attendance_Sep!AH38,"")</f>
        <v/>
      </c>
      <c r="E37" s="49" t="str">
        <f>IF(Setup!B44&lt;&gt;"",Attendance_Sep!AH39,"")</f>
        <v/>
      </c>
      <c r="F37" s="51" t="str">
        <f>IFERROR(IF(Setup!B44&lt;&gt;"",B37/C37,""),"")</f>
        <v/>
      </c>
      <c r="G37" s="50" t="str">
        <f>IF(Setup!B44&lt;&gt;"",MIN(D37,C37),"")</f>
        <v/>
      </c>
      <c r="H37" s="50" t="str">
        <f>IF(Setup!B44&lt;&gt;"",MAX(D37-C37,0),"")</f>
        <v/>
      </c>
      <c r="I37" s="19" t="str">
        <f>IF(Setup!B44&lt;&gt;"",F37*G37,"")</f>
        <v/>
      </c>
      <c r="J37" s="19" t="str">
        <f>IF(Setup!B44&lt;&gt;"",F37*H37*$B4,"")</f>
        <v/>
      </c>
      <c r="K37" s="19" t="str">
        <f>IF(Setup!B44&lt;&gt;"",IF(E37=0,$B5,0),"")</f>
        <v/>
      </c>
      <c r="L37" s="52" t="str">
        <f>IF(Setup!B44&lt;&gt;"",I37+J37+K37,"")</f>
        <v/>
      </c>
      <c r="M37" s="19" t="str">
        <f>IF(Setup!B44&lt;&gt;"",Payroll_Aug!P37,"")</f>
        <v/>
      </c>
      <c r="N37" s="46">
        <v>0</v>
      </c>
      <c r="O37" s="46">
        <v>0</v>
      </c>
      <c r="P37" s="52" t="str">
        <f>IF(Setup!B44&lt;&gt;"",M37+N37-O37,"")</f>
        <v/>
      </c>
      <c r="Q37" s="46">
        <v>0</v>
      </c>
      <c r="R37" s="47" t="str">
        <f>IF(Setup!B44&lt;&gt;"",L37-O37-Q37,"")</f>
        <v/>
      </c>
    </row>
    <row r="38" spans="1:18" ht="25.5" customHeight="1" x14ac:dyDescent="0.3">
      <c r="A38" s="55" t="s">
        <v>113</v>
      </c>
      <c r="B38" s="55"/>
      <c r="C38" s="17">
        <f>SUM(C8:C37)</f>
        <v>2912</v>
      </c>
      <c r="D38" s="36">
        <f>SUM(D8:D37)</f>
        <v>0</v>
      </c>
      <c r="E38" s="17">
        <f>SUM(E8:E37)</f>
        <v>0</v>
      </c>
      <c r="F38" s="17"/>
      <c r="G38" s="36">
        <f t="shared" ref="G38:R38" si="0">SUM(G8:G37)</f>
        <v>0</v>
      </c>
      <c r="H38" s="36">
        <f t="shared" si="0"/>
        <v>0</v>
      </c>
      <c r="I38" s="17">
        <f t="shared" si="0"/>
        <v>0</v>
      </c>
      <c r="J38" s="17">
        <f t="shared" si="0"/>
        <v>0</v>
      </c>
      <c r="K38" s="17">
        <f t="shared" si="0"/>
        <v>0</v>
      </c>
      <c r="L38" s="17">
        <f t="shared" si="0"/>
        <v>0</v>
      </c>
      <c r="M38" s="17">
        <f t="shared" si="0"/>
        <v>93000</v>
      </c>
      <c r="N38" s="17">
        <f t="shared" si="0"/>
        <v>0</v>
      </c>
      <c r="O38" s="17">
        <f t="shared" si="0"/>
        <v>0</v>
      </c>
      <c r="P38" s="17">
        <f t="shared" si="0"/>
        <v>93000</v>
      </c>
      <c r="Q38" s="17">
        <f t="shared" si="0"/>
        <v>0</v>
      </c>
      <c r="R38" s="17">
        <f t="shared" si="0"/>
        <v>0</v>
      </c>
    </row>
    <row r="40" spans="1:18" ht="19.5" customHeight="1" x14ac:dyDescent="0.3">
      <c r="A40" s="56" t="s">
        <v>114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</sheetData>
  <mergeCells count="3">
    <mergeCell ref="A1:R1"/>
    <mergeCell ref="A38:B38"/>
    <mergeCell ref="A40:R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6600"/>
  </sheetPr>
  <dimension ref="A1:R40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5546875" defaultRowHeight="14.4" x14ac:dyDescent="0.3"/>
  <cols>
    <col min="1" max="1" width="22" customWidth="1"/>
    <col min="2" max="2" width="15" customWidth="1"/>
    <col min="3" max="4" width="11" customWidth="1"/>
    <col min="5" max="5" width="10" customWidth="1"/>
    <col min="6" max="7" width="12" customWidth="1"/>
    <col min="8" max="8" width="10" customWidth="1"/>
    <col min="9" max="9" width="14" customWidth="1"/>
    <col min="10" max="10" width="13" customWidth="1"/>
    <col min="11" max="11" width="16" customWidth="1"/>
    <col min="12" max="12" width="14" customWidth="1"/>
    <col min="13" max="16" width="12" customWidth="1"/>
    <col min="17" max="17" width="15" customWidth="1"/>
    <col min="18" max="18" width="14" customWidth="1"/>
  </cols>
  <sheetData>
    <row r="1" spans="1:18" ht="31.5" customHeight="1" x14ac:dyDescent="0.3">
      <c r="A1" s="54" t="s">
        <v>131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1" t="s">
        <v>93</v>
      </c>
      <c r="B2" s="10" t="s">
        <v>132</v>
      </c>
    </row>
    <row r="3" spans="1:18" ht="19.5" customHeight="1" x14ac:dyDescent="0.3">
      <c r="A3" s="1" t="s">
        <v>95</v>
      </c>
      <c r="B3" s="10">
        <v>216</v>
      </c>
    </row>
    <row r="4" spans="1:18" ht="19.5" customHeight="1" x14ac:dyDescent="0.3">
      <c r="A4" s="1" t="s">
        <v>14</v>
      </c>
      <c r="B4" s="38">
        <f>Setup!B9</f>
        <v>1.5</v>
      </c>
    </row>
    <row r="5" spans="1:18" ht="19.5" customHeight="1" x14ac:dyDescent="0.3">
      <c r="A5" s="1" t="s">
        <v>16</v>
      </c>
      <c r="B5" s="12">
        <f>Setup!B10</f>
        <v>0</v>
      </c>
    </row>
    <row r="7" spans="1:18" ht="36" customHeight="1" x14ac:dyDescent="0.3">
      <c r="A7" s="39" t="s">
        <v>37</v>
      </c>
      <c r="B7" s="39" t="s">
        <v>96</v>
      </c>
      <c r="C7" s="39" t="s">
        <v>97</v>
      </c>
      <c r="D7" s="39" t="s">
        <v>98</v>
      </c>
      <c r="E7" s="39" t="s">
        <v>99</v>
      </c>
      <c r="F7" s="39" t="s">
        <v>100</v>
      </c>
      <c r="G7" s="39" t="s">
        <v>101</v>
      </c>
      <c r="H7" s="39" t="s">
        <v>102</v>
      </c>
      <c r="I7" s="21" t="s">
        <v>103</v>
      </c>
      <c r="J7" s="21" t="s">
        <v>104</v>
      </c>
      <c r="K7" s="21" t="s">
        <v>105</v>
      </c>
      <c r="L7" s="21" t="s">
        <v>106</v>
      </c>
      <c r="M7" s="21" t="s">
        <v>107</v>
      </c>
      <c r="N7" s="21" t="s">
        <v>108</v>
      </c>
      <c r="O7" s="21" t="s">
        <v>109</v>
      </c>
      <c r="P7" s="21" t="s">
        <v>110</v>
      </c>
      <c r="Q7" s="21" t="s">
        <v>111</v>
      </c>
      <c r="R7" s="21" t="s">
        <v>112</v>
      </c>
    </row>
    <row r="8" spans="1:18" ht="21.75" customHeight="1" x14ac:dyDescent="0.3">
      <c r="A8" s="1" t="str">
        <f>Setup!B15</f>
        <v>Sheraz</v>
      </c>
      <c r="B8" s="40">
        <f>IF(Setup!B15&lt;&gt;"",Setup!C15,"")</f>
        <v>38000</v>
      </c>
      <c r="C8" s="41">
        <f>IF(Setup!B15&lt;&gt;"",$B3,"")</f>
        <v>216</v>
      </c>
      <c r="D8" s="42">
        <f>IF(Setup!B15&lt;&gt;"",Attendance_Oct!E39,"")</f>
        <v>0</v>
      </c>
      <c r="E8" s="41">
        <f>IF(Setup!B15&lt;&gt;"",Attendance_Oct!E40,"")</f>
        <v>0</v>
      </c>
      <c r="F8" s="43">
        <f>IFERROR(IF(Setup!B15&lt;&gt;"",B8/C8,""),"")</f>
        <v>175.92592592592592</v>
      </c>
      <c r="G8" s="42">
        <f>IF(Setup!B15&lt;&gt;"",MIN(D8,C8),"")</f>
        <v>0</v>
      </c>
      <c r="H8" s="42">
        <f>IF(Setup!B15&lt;&gt;"",MAX(D8-C8,0),"")</f>
        <v>0</v>
      </c>
      <c r="I8" s="16">
        <f>IF(Setup!B15&lt;&gt;"",F8*G8,"")</f>
        <v>0</v>
      </c>
      <c r="J8" s="16">
        <f>IF(Setup!B15&lt;&gt;"",F8*H8*$B4,"")</f>
        <v>0</v>
      </c>
      <c r="K8" s="16">
        <f>IF(Setup!B15&lt;&gt;"",IF(E8=0,$B5,0),"")</f>
        <v>0</v>
      </c>
      <c r="L8" s="44">
        <f>IF(Setup!B15&lt;&gt;"",I8+J8+K8,"")</f>
        <v>0</v>
      </c>
      <c r="M8" s="16">
        <f>IF(Setup!B15&lt;&gt;"",Payroll_Sep!P8,"")</f>
        <v>40000</v>
      </c>
      <c r="N8" s="46">
        <v>0</v>
      </c>
      <c r="O8" s="46">
        <v>0</v>
      </c>
      <c r="P8" s="44">
        <f>IF(Setup!B15&lt;&gt;"",M8+N8-O8,"")</f>
        <v>40000</v>
      </c>
      <c r="Q8" s="46">
        <v>0</v>
      </c>
      <c r="R8" s="47">
        <f>IF(Setup!B15&lt;&gt;"",L8-O8-Q8,"")</f>
        <v>0</v>
      </c>
    </row>
    <row r="9" spans="1:18" ht="21.75" customHeight="1" x14ac:dyDescent="0.3">
      <c r="A9" s="18" t="str">
        <f>Setup!B16</f>
        <v>Zain</v>
      </c>
      <c r="B9" s="48">
        <f>IF(Setup!B16&lt;&gt;"",Setup!C16,"")</f>
        <v>53000</v>
      </c>
      <c r="C9" s="49">
        <f>IF(Setup!B16&lt;&gt;"",$B3,"")</f>
        <v>216</v>
      </c>
      <c r="D9" s="50">
        <f>IF(Setup!B16&lt;&gt;"",Attendance_Oct!F39,"")</f>
        <v>0</v>
      </c>
      <c r="E9" s="49">
        <f>IF(Setup!B16&lt;&gt;"",Attendance_Oct!F40,"")</f>
        <v>0</v>
      </c>
      <c r="F9" s="51">
        <f>IFERROR(IF(Setup!B16&lt;&gt;"",B9/C9,""),"")</f>
        <v>245.37037037037038</v>
      </c>
      <c r="G9" s="50">
        <f>IF(Setup!B16&lt;&gt;"",MIN(D9,C9),"")</f>
        <v>0</v>
      </c>
      <c r="H9" s="50">
        <f>IF(Setup!B16&lt;&gt;"",MAX(D9-C9,0),"")</f>
        <v>0</v>
      </c>
      <c r="I9" s="19">
        <f>IF(Setup!B16&lt;&gt;"",F9*G9,"")</f>
        <v>0</v>
      </c>
      <c r="J9" s="19">
        <f>IF(Setup!B16&lt;&gt;"",F9*H9*$B4,"")</f>
        <v>0</v>
      </c>
      <c r="K9" s="19">
        <f>IF(Setup!B16&lt;&gt;"",IF(E9=0,$B5,0),"")</f>
        <v>0</v>
      </c>
      <c r="L9" s="52">
        <f>IF(Setup!B16&lt;&gt;"",I9+J9+K9,"")</f>
        <v>0</v>
      </c>
      <c r="M9" s="19">
        <f>IF(Setup!B16&lt;&gt;"",Payroll_Sep!P9,"")</f>
        <v>0</v>
      </c>
      <c r="N9" s="46">
        <v>0</v>
      </c>
      <c r="O9" s="46">
        <v>0</v>
      </c>
      <c r="P9" s="52">
        <f>IF(Setup!B16&lt;&gt;"",M9+N9-O9,"")</f>
        <v>0</v>
      </c>
      <c r="Q9" s="46">
        <v>0</v>
      </c>
      <c r="R9" s="47">
        <f>IF(Setup!B16&lt;&gt;"",L9-O9-Q9,"")</f>
        <v>0</v>
      </c>
    </row>
    <row r="10" spans="1:18" ht="21.75" customHeight="1" x14ac:dyDescent="0.3">
      <c r="A10" s="1" t="str">
        <f>Setup!B17</f>
        <v>Yousaf</v>
      </c>
      <c r="B10" s="40">
        <f>IF(Setup!B17&lt;&gt;"",Setup!C17,"")</f>
        <v>28000</v>
      </c>
      <c r="C10" s="41">
        <f>IF(Setup!B17&lt;&gt;"",$B3,"")</f>
        <v>216</v>
      </c>
      <c r="D10" s="42">
        <f>IF(Setup!B17&lt;&gt;"",Attendance_Oct!G39,"")</f>
        <v>0</v>
      </c>
      <c r="E10" s="41">
        <f>IF(Setup!B17&lt;&gt;"",Attendance_Oct!G40,"")</f>
        <v>0</v>
      </c>
      <c r="F10" s="43">
        <f>IFERROR(IF(Setup!B17&lt;&gt;"",B10/C10,""),"")</f>
        <v>129.62962962962962</v>
      </c>
      <c r="G10" s="42">
        <f>IF(Setup!B17&lt;&gt;"",MIN(D10,C10),"")</f>
        <v>0</v>
      </c>
      <c r="H10" s="42">
        <f>IF(Setup!B17&lt;&gt;"",MAX(D10-C10,0),"")</f>
        <v>0</v>
      </c>
      <c r="I10" s="16">
        <f>IF(Setup!B17&lt;&gt;"",F10*G10,"")</f>
        <v>0</v>
      </c>
      <c r="J10" s="16">
        <f>IF(Setup!B17&lt;&gt;"",F10*H10*$B4,"")</f>
        <v>0</v>
      </c>
      <c r="K10" s="16">
        <f>IF(Setup!B17&lt;&gt;"",IF(E10=0,$B5,0),"")</f>
        <v>0</v>
      </c>
      <c r="L10" s="44">
        <f>IF(Setup!B17&lt;&gt;"",I10+J10+K10,"")</f>
        <v>0</v>
      </c>
      <c r="M10" s="16">
        <f>IF(Setup!B17&lt;&gt;"",Payroll_Sep!P10,"")</f>
        <v>0</v>
      </c>
      <c r="N10" s="46">
        <v>0</v>
      </c>
      <c r="O10" s="46">
        <v>0</v>
      </c>
      <c r="P10" s="44">
        <f>IF(Setup!B17&lt;&gt;"",M10+N10-O10,"")</f>
        <v>0</v>
      </c>
      <c r="Q10" s="46">
        <v>0</v>
      </c>
      <c r="R10" s="47">
        <f>IF(Setup!B17&lt;&gt;"",L10-O10-Q10,"")</f>
        <v>0</v>
      </c>
    </row>
    <row r="11" spans="1:18" ht="21.75" customHeight="1" x14ac:dyDescent="0.3">
      <c r="A11" s="18" t="str">
        <f>Setup!B18</f>
        <v>Hamza</v>
      </c>
      <c r="B11" s="48">
        <f>IF(Setup!B18&lt;&gt;"",Setup!C18,"")</f>
        <v>25000</v>
      </c>
      <c r="C11" s="49">
        <f>IF(Setup!B18&lt;&gt;"",$B3,"")</f>
        <v>216</v>
      </c>
      <c r="D11" s="50">
        <f>IF(Setup!B18&lt;&gt;"",Attendance_Oct!H39,"")</f>
        <v>0</v>
      </c>
      <c r="E11" s="49">
        <f>IF(Setup!B18&lt;&gt;"",Attendance_Oct!H40,"")</f>
        <v>0</v>
      </c>
      <c r="F11" s="51">
        <f>IFERROR(IF(Setup!B18&lt;&gt;"",B11/C11,""),"")</f>
        <v>115.74074074074075</v>
      </c>
      <c r="G11" s="50">
        <f>IF(Setup!B18&lt;&gt;"",MIN(D11,C11),"")</f>
        <v>0</v>
      </c>
      <c r="H11" s="50">
        <f>IF(Setup!B18&lt;&gt;"",MAX(D11-C11,0),"")</f>
        <v>0</v>
      </c>
      <c r="I11" s="19">
        <f>IF(Setup!B18&lt;&gt;"",F11*G11,"")</f>
        <v>0</v>
      </c>
      <c r="J11" s="19">
        <f>IF(Setup!B18&lt;&gt;"",F11*H11*$B4,"")</f>
        <v>0</v>
      </c>
      <c r="K11" s="19">
        <f>IF(Setup!B18&lt;&gt;"",IF(E11=0,$B5,0),"")</f>
        <v>0</v>
      </c>
      <c r="L11" s="52">
        <f>IF(Setup!B18&lt;&gt;"",I11+J11+K11,"")</f>
        <v>0</v>
      </c>
      <c r="M11" s="19">
        <f>IF(Setup!B18&lt;&gt;"",Payroll_Sep!P11,"")</f>
        <v>18000</v>
      </c>
      <c r="N11" s="46">
        <v>0</v>
      </c>
      <c r="O11" s="46">
        <v>0</v>
      </c>
      <c r="P11" s="52">
        <f>IF(Setup!B18&lt;&gt;"",M11+N11-O11,"")</f>
        <v>18000</v>
      </c>
      <c r="Q11" s="46">
        <v>0</v>
      </c>
      <c r="R11" s="47">
        <f>IF(Setup!B18&lt;&gt;"",L11-O11-Q11,"")</f>
        <v>0</v>
      </c>
    </row>
    <row r="12" spans="1:18" ht="21.75" customHeight="1" x14ac:dyDescent="0.3">
      <c r="A12" s="1" t="str">
        <f>Setup!B19</f>
        <v>Amjad</v>
      </c>
      <c r="B12" s="40">
        <f>IF(Setup!B19&lt;&gt;"",Setup!C19,"")</f>
        <v>25000</v>
      </c>
      <c r="C12" s="41">
        <f>IF(Setup!B19&lt;&gt;"",$B3,"")</f>
        <v>216</v>
      </c>
      <c r="D12" s="42">
        <f>IF(Setup!B19&lt;&gt;"",Attendance_Oct!I39,"")</f>
        <v>0</v>
      </c>
      <c r="E12" s="41">
        <f>IF(Setup!B19&lt;&gt;"",Attendance_Oct!I40,"")</f>
        <v>0</v>
      </c>
      <c r="F12" s="43">
        <f>IFERROR(IF(Setup!B19&lt;&gt;"",B12/C12,""),"")</f>
        <v>115.74074074074075</v>
      </c>
      <c r="G12" s="42">
        <f>IF(Setup!B19&lt;&gt;"",MIN(D12,C12),"")</f>
        <v>0</v>
      </c>
      <c r="H12" s="42">
        <f>IF(Setup!B19&lt;&gt;"",MAX(D12-C12,0),"")</f>
        <v>0</v>
      </c>
      <c r="I12" s="16">
        <f>IF(Setup!B19&lt;&gt;"",F12*G12,"")</f>
        <v>0</v>
      </c>
      <c r="J12" s="16">
        <f>IF(Setup!B19&lt;&gt;"",F12*H12*$B4,"")</f>
        <v>0</v>
      </c>
      <c r="K12" s="16">
        <f>IF(Setup!B19&lt;&gt;"",IF(E12=0,$B5,0),"")</f>
        <v>0</v>
      </c>
      <c r="L12" s="44">
        <f>IF(Setup!B19&lt;&gt;"",I12+J12+K12,"")</f>
        <v>0</v>
      </c>
      <c r="M12" s="16">
        <f>IF(Setup!B19&lt;&gt;"",Payroll_Sep!P12,"")</f>
        <v>5000</v>
      </c>
      <c r="N12" s="46">
        <v>0</v>
      </c>
      <c r="O12" s="46">
        <v>0</v>
      </c>
      <c r="P12" s="44">
        <f>IF(Setup!B19&lt;&gt;"",M12+N12-O12,"")</f>
        <v>5000</v>
      </c>
      <c r="Q12" s="46">
        <v>0</v>
      </c>
      <c r="R12" s="47">
        <f>IF(Setup!B19&lt;&gt;"",L12-O12-Q12,"")</f>
        <v>0</v>
      </c>
    </row>
    <row r="13" spans="1:18" ht="21.75" customHeight="1" x14ac:dyDescent="0.3">
      <c r="A13" s="18" t="str">
        <f>Setup!B20</f>
        <v>Tanveer</v>
      </c>
      <c r="B13" s="48">
        <f>IF(Setup!B20&lt;&gt;"",Setup!C20,"")</f>
        <v>25000</v>
      </c>
      <c r="C13" s="49">
        <f>IF(Setup!B20&lt;&gt;"",$B3,"")</f>
        <v>216</v>
      </c>
      <c r="D13" s="50">
        <f>IF(Setup!B20&lt;&gt;"",Attendance_Oct!J39,"")</f>
        <v>0</v>
      </c>
      <c r="E13" s="49">
        <f>IF(Setup!B20&lt;&gt;"",Attendance_Oct!J40,"")</f>
        <v>0</v>
      </c>
      <c r="F13" s="51">
        <f>IFERROR(IF(Setup!B20&lt;&gt;"",B13/C13,""),"")</f>
        <v>115.74074074074075</v>
      </c>
      <c r="G13" s="50">
        <f>IF(Setup!B20&lt;&gt;"",MIN(D13,C13),"")</f>
        <v>0</v>
      </c>
      <c r="H13" s="50">
        <f>IF(Setup!B20&lt;&gt;"",MAX(D13-C13,0),"")</f>
        <v>0</v>
      </c>
      <c r="I13" s="19">
        <f>IF(Setup!B20&lt;&gt;"",F13*G13,"")</f>
        <v>0</v>
      </c>
      <c r="J13" s="19">
        <f>IF(Setup!B20&lt;&gt;"",F13*H13*$B4,"")</f>
        <v>0</v>
      </c>
      <c r="K13" s="19">
        <f>IF(Setup!B20&lt;&gt;"",IF(E13=0,$B5,0),"")</f>
        <v>0</v>
      </c>
      <c r="L13" s="52">
        <f>IF(Setup!B20&lt;&gt;"",I13+J13+K13,"")</f>
        <v>0</v>
      </c>
      <c r="M13" s="19">
        <f>IF(Setup!B20&lt;&gt;"",Payroll_Sep!P13,"")</f>
        <v>10000</v>
      </c>
      <c r="N13" s="46">
        <v>0</v>
      </c>
      <c r="O13" s="46">
        <v>0</v>
      </c>
      <c r="P13" s="52">
        <f>IF(Setup!B20&lt;&gt;"",M13+N13-O13,"")</f>
        <v>10000</v>
      </c>
      <c r="Q13" s="46">
        <v>0</v>
      </c>
      <c r="R13" s="47">
        <f>IF(Setup!B20&lt;&gt;"",L13-O13-Q13,"")</f>
        <v>0</v>
      </c>
    </row>
    <row r="14" spans="1:18" ht="21.75" customHeight="1" x14ac:dyDescent="0.3">
      <c r="A14" s="1" t="str">
        <f>Setup!B21</f>
        <v>Ali Zaman</v>
      </c>
      <c r="B14" s="40">
        <f>IF(Setup!B21&lt;&gt;"",Setup!C21,"")</f>
        <v>75000</v>
      </c>
      <c r="C14" s="41">
        <f>IF(Setup!B21&lt;&gt;"",$B3,"")</f>
        <v>216</v>
      </c>
      <c r="D14" s="42">
        <f>IF(Setup!B21&lt;&gt;"",Attendance_Oct!K39,"")</f>
        <v>0</v>
      </c>
      <c r="E14" s="41">
        <f>IF(Setup!B21&lt;&gt;"",Attendance_Oct!K40,"")</f>
        <v>0</v>
      </c>
      <c r="F14" s="43">
        <f>IFERROR(IF(Setup!B21&lt;&gt;"",B14/C14,""),"")</f>
        <v>347.22222222222223</v>
      </c>
      <c r="G14" s="42">
        <f>IF(Setup!B21&lt;&gt;"",MIN(D14,C14),"")</f>
        <v>0</v>
      </c>
      <c r="H14" s="42">
        <f>IF(Setup!B21&lt;&gt;"",MAX(D14-C14,0),"")</f>
        <v>0</v>
      </c>
      <c r="I14" s="16">
        <f>IF(Setup!B21&lt;&gt;"",F14*G14,"")</f>
        <v>0</v>
      </c>
      <c r="J14" s="16">
        <f>IF(Setup!B21&lt;&gt;"",F14*H14*$B4,"")</f>
        <v>0</v>
      </c>
      <c r="K14" s="16">
        <f>IF(Setup!B21&lt;&gt;"",IF(E14=0,$B5,0),"")</f>
        <v>0</v>
      </c>
      <c r="L14" s="44">
        <f>IF(Setup!B21&lt;&gt;"",I14+J14+K14,"")</f>
        <v>0</v>
      </c>
      <c r="M14" s="16">
        <f>IF(Setup!B21&lt;&gt;"",Payroll_Sep!P14,"")</f>
        <v>20000</v>
      </c>
      <c r="N14" s="46">
        <v>0</v>
      </c>
      <c r="O14" s="46">
        <v>0</v>
      </c>
      <c r="P14" s="44">
        <f>IF(Setup!B21&lt;&gt;"",M14+N14-O14,"")</f>
        <v>20000</v>
      </c>
      <c r="Q14" s="46">
        <v>0</v>
      </c>
      <c r="R14" s="47">
        <f>IF(Setup!B21&lt;&gt;"",L14-O14-Q14,"")</f>
        <v>0</v>
      </c>
    </row>
    <row r="15" spans="1:18" ht="21.75" customHeight="1" x14ac:dyDescent="0.3">
      <c r="A15" s="18" t="str">
        <f>Setup!B22</f>
        <v>Awais Ali</v>
      </c>
      <c r="B15" s="48">
        <f>IF(Setup!B22&lt;&gt;"",Setup!C22,"")</f>
        <v>25000</v>
      </c>
      <c r="C15" s="49">
        <f>IF(Setup!B22&lt;&gt;"",$B3,"")</f>
        <v>216</v>
      </c>
      <c r="D15" s="50">
        <f>IF(Setup!B22&lt;&gt;"",Attendance_Oct!L39,"")</f>
        <v>0</v>
      </c>
      <c r="E15" s="49">
        <f>IF(Setup!B22&lt;&gt;"",Attendance_Oct!L40,"")</f>
        <v>0</v>
      </c>
      <c r="F15" s="51">
        <f>IFERROR(IF(Setup!B22&lt;&gt;"",B15/C15,""),"")</f>
        <v>115.74074074074075</v>
      </c>
      <c r="G15" s="50">
        <f>IF(Setup!B22&lt;&gt;"",MIN(D15,C15),"")</f>
        <v>0</v>
      </c>
      <c r="H15" s="50">
        <f>IF(Setup!B22&lt;&gt;"",MAX(D15-C15,0),"")</f>
        <v>0</v>
      </c>
      <c r="I15" s="19">
        <f>IF(Setup!B22&lt;&gt;"",F15*G15,"")</f>
        <v>0</v>
      </c>
      <c r="J15" s="19">
        <f>IF(Setup!B22&lt;&gt;"",F15*H15*$B4,"")</f>
        <v>0</v>
      </c>
      <c r="K15" s="19">
        <f>IF(Setup!B22&lt;&gt;"",IF(E15=0,$B5,0),"")</f>
        <v>0</v>
      </c>
      <c r="L15" s="52">
        <f>IF(Setup!B22&lt;&gt;"",I15+J15+K15,"")</f>
        <v>0</v>
      </c>
      <c r="M15" s="19">
        <f>IF(Setup!B22&lt;&gt;"",Payroll_Sep!P15,"")</f>
        <v>0</v>
      </c>
      <c r="N15" s="46">
        <v>0</v>
      </c>
      <c r="O15" s="46">
        <v>0</v>
      </c>
      <c r="P15" s="52">
        <f>IF(Setup!B22&lt;&gt;"",M15+N15-O15,"")</f>
        <v>0</v>
      </c>
      <c r="Q15" s="46">
        <v>0</v>
      </c>
      <c r="R15" s="47">
        <f>IF(Setup!B22&lt;&gt;"",L15-O15-Q15,"")</f>
        <v>0</v>
      </c>
    </row>
    <row r="16" spans="1:18" ht="21.75" customHeight="1" x14ac:dyDescent="0.3">
      <c r="A16" s="1" t="str">
        <f>Setup!B23</f>
        <v>Ishtiaq</v>
      </c>
      <c r="B16" s="40">
        <f>IF(Setup!B23&lt;&gt;"",Setup!C23,"")</f>
        <v>25000</v>
      </c>
      <c r="C16" s="41">
        <f>IF(Setup!B23&lt;&gt;"",$B3,"")</f>
        <v>216</v>
      </c>
      <c r="D16" s="42">
        <f>IF(Setup!B23&lt;&gt;"",Attendance_Oct!M39,"")</f>
        <v>0</v>
      </c>
      <c r="E16" s="41">
        <f>IF(Setup!B23&lt;&gt;"",Attendance_Oct!M40,"")</f>
        <v>0</v>
      </c>
      <c r="F16" s="43">
        <f>IFERROR(IF(Setup!B23&lt;&gt;"",B16/C16,""),"")</f>
        <v>115.74074074074075</v>
      </c>
      <c r="G16" s="42">
        <f>IF(Setup!B23&lt;&gt;"",MIN(D16,C16),"")</f>
        <v>0</v>
      </c>
      <c r="H16" s="42">
        <f>IF(Setup!B23&lt;&gt;"",MAX(D16-C16,0),"")</f>
        <v>0</v>
      </c>
      <c r="I16" s="16">
        <f>IF(Setup!B23&lt;&gt;"",F16*G16,"")</f>
        <v>0</v>
      </c>
      <c r="J16" s="16">
        <f>IF(Setup!B23&lt;&gt;"",F16*H16*$B4,"")</f>
        <v>0</v>
      </c>
      <c r="K16" s="16">
        <f>IF(Setup!B23&lt;&gt;"",IF(E16=0,$B5,0),"")</f>
        <v>0</v>
      </c>
      <c r="L16" s="44">
        <f>IF(Setup!B23&lt;&gt;"",I16+J16+K16,"")</f>
        <v>0</v>
      </c>
      <c r="M16" s="16">
        <f>IF(Setup!B23&lt;&gt;"",Payroll_Sep!P16,"")</f>
        <v>0</v>
      </c>
      <c r="N16" s="46">
        <v>0</v>
      </c>
      <c r="O16" s="46">
        <v>0</v>
      </c>
      <c r="P16" s="44">
        <f>IF(Setup!B23&lt;&gt;"",M16+N16-O16,"")</f>
        <v>0</v>
      </c>
      <c r="Q16" s="46">
        <v>0</v>
      </c>
      <c r="R16" s="47">
        <f>IF(Setup!B23&lt;&gt;"",L16-O16-Q16,"")</f>
        <v>0</v>
      </c>
    </row>
    <row r="17" spans="1:18" ht="21.75" customHeight="1" x14ac:dyDescent="0.3">
      <c r="A17" s="18" t="str">
        <f>Setup!B24</f>
        <v>Usama bhai</v>
      </c>
      <c r="B17" s="48">
        <f>IF(Setup!B24&lt;&gt;"",Setup!C24,"")</f>
        <v>50000</v>
      </c>
      <c r="C17" s="49">
        <f>IF(Setup!B24&lt;&gt;"",$B3,"")</f>
        <v>216</v>
      </c>
      <c r="D17" s="50">
        <f>IF(Setup!B24&lt;&gt;"",Attendance_Oct!N39,"")</f>
        <v>0</v>
      </c>
      <c r="E17" s="49">
        <f>IF(Setup!B24&lt;&gt;"",Attendance_Oct!N40,"")</f>
        <v>0</v>
      </c>
      <c r="F17" s="51">
        <f>IFERROR(IF(Setup!B24&lt;&gt;"",B17/C17,""),"")</f>
        <v>231.4814814814815</v>
      </c>
      <c r="G17" s="50">
        <f>IF(Setup!B24&lt;&gt;"",MIN(D17,C17),"")</f>
        <v>0</v>
      </c>
      <c r="H17" s="50">
        <f>IF(Setup!B24&lt;&gt;"",MAX(D17-C17,0),"")</f>
        <v>0</v>
      </c>
      <c r="I17" s="19">
        <f>IF(Setup!B24&lt;&gt;"",F17*G17,"")</f>
        <v>0</v>
      </c>
      <c r="J17" s="19">
        <f>IF(Setup!B24&lt;&gt;"",F17*H17*$B4,"")</f>
        <v>0</v>
      </c>
      <c r="K17" s="19">
        <f>IF(Setup!B24&lt;&gt;"",IF(E17=0,$B5,0),"")</f>
        <v>0</v>
      </c>
      <c r="L17" s="52">
        <f>IF(Setup!B24&lt;&gt;"",I17+J17+K17,"")</f>
        <v>0</v>
      </c>
      <c r="M17" s="19">
        <f>IF(Setup!B24&lt;&gt;"",Payroll_Sep!P17,"")</f>
        <v>0</v>
      </c>
      <c r="N17" s="46">
        <v>0</v>
      </c>
      <c r="O17" s="46">
        <v>0</v>
      </c>
      <c r="P17" s="52">
        <f>IF(Setup!B24&lt;&gt;"",M17+N17-O17,"")</f>
        <v>0</v>
      </c>
      <c r="Q17" s="46">
        <v>0</v>
      </c>
      <c r="R17" s="47">
        <f>IF(Setup!B24&lt;&gt;"",L17-O17-Q17,"")</f>
        <v>0</v>
      </c>
    </row>
    <row r="18" spans="1:18" ht="21.75" customHeight="1" x14ac:dyDescent="0.3">
      <c r="A18" s="1" t="str">
        <f>Setup!B25</f>
        <v>Ahtisham</v>
      </c>
      <c r="B18" s="40">
        <f>IF(Setup!B25&lt;&gt;"",Setup!C25,"")</f>
        <v>10000</v>
      </c>
      <c r="C18" s="41">
        <f>IF(Setup!B25&lt;&gt;"",$B3,"")</f>
        <v>216</v>
      </c>
      <c r="D18" s="42">
        <f>IF(Setup!B25&lt;&gt;"",Attendance_Oct!O39,"")</f>
        <v>0</v>
      </c>
      <c r="E18" s="41">
        <f>IF(Setup!B25&lt;&gt;"",Attendance_Oct!O40,"")</f>
        <v>0</v>
      </c>
      <c r="F18" s="43">
        <f>IFERROR(IF(Setup!B25&lt;&gt;"",B18/C18,""),"")</f>
        <v>46.296296296296298</v>
      </c>
      <c r="G18" s="42">
        <f>IF(Setup!B25&lt;&gt;"",MIN(D18,C18),"")</f>
        <v>0</v>
      </c>
      <c r="H18" s="42">
        <f>IF(Setup!B25&lt;&gt;"",MAX(D18-C18,0),"")</f>
        <v>0</v>
      </c>
      <c r="I18" s="16">
        <f>IF(Setup!B25&lt;&gt;"",F18*G18,"")</f>
        <v>0</v>
      </c>
      <c r="J18" s="16">
        <f>IF(Setup!B25&lt;&gt;"",F18*H18*$B4,"")</f>
        <v>0</v>
      </c>
      <c r="K18" s="16">
        <f>IF(Setup!B25&lt;&gt;"",IF(E18=0,$B5,0),"")</f>
        <v>0</v>
      </c>
      <c r="L18" s="44">
        <f>IF(Setup!B25&lt;&gt;"",I18+J18+K18,"")</f>
        <v>0</v>
      </c>
      <c r="M18" s="16">
        <f>IF(Setup!B25&lt;&gt;"",Payroll_Sep!P18,"")</f>
        <v>0</v>
      </c>
      <c r="N18" s="46">
        <v>0</v>
      </c>
      <c r="O18" s="46">
        <v>0</v>
      </c>
      <c r="P18" s="44">
        <f>IF(Setup!B25&lt;&gt;"",M18+N18-O18,"")</f>
        <v>0</v>
      </c>
      <c r="Q18" s="46">
        <v>0</v>
      </c>
      <c r="R18" s="47">
        <f>IF(Setup!B25&lt;&gt;"",L18-O18-Q18,"")</f>
        <v>0</v>
      </c>
    </row>
    <row r="19" spans="1:18" ht="21.75" customHeight="1" x14ac:dyDescent="0.3">
      <c r="A19" s="18" t="str">
        <f>Setup!B26</f>
        <v>Factory rent</v>
      </c>
      <c r="B19" s="48">
        <f>IF(Setup!B26&lt;&gt;"",Setup!C26,"")</f>
        <v>77000</v>
      </c>
      <c r="C19" s="49">
        <f>IF(Setup!B26&lt;&gt;"",$B3,"")</f>
        <v>216</v>
      </c>
      <c r="D19" s="50">
        <f>IF(Setup!B26&lt;&gt;"",Attendance_Oct!P39,"")</f>
        <v>0</v>
      </c>
      <c r="E19" s="49">
        <f>IF(Setup!B26&lt;&gt;"",Attendance_Oct!P40,"")</f>
        <v>0</v>
      </c>
      <c r="F19" s="51">
        <f>IFERROR(IF(Setup!B26&lt;&gt;"",B19/C19,""),"")</f>
        <v>356.48148148148147</v>
      </c>
      <c r="G19" s="50">
        <f>IF(Setup!B26&lt;&gt;"",MIN(D19,C19),"")</f>
        <v>0</v>
      </c>
      <c r="H19" s="50">
        <f>IF(Setup!B26&lt;&gt;"",MAX(D19-C19,0),"")</f>
        <v>0</v>
      </c>
      <c r="I19" s="19">
        <f>IF(Setup!B26&lt;&gt;"",F19*G19,"")</f>
        <v>0</v>
      </c>
      <c r="J19" s="19">
        <f>IF(Setup!B26&lt;&gt;"",F19*H19*$B4,"")</f>
        <v>0</v>
      </c>
      <c r="K19" s="19">
        <f>IF(Setup!B26&lt;&gt;"",IF(E19=0,$B5,0),"")</f>
        <v>0</v>
      </c>
      <c r="L19" s="52">
        <f>IF(Setup!B26&lt;&gt;"",I19+J19+K19,"")</f>
        <v>0</v>
      </c>
      <c r="M19" s="19">
        <f>IF(Setup!B26&lt;&gt;"",Payroll_Sep!P19,"")</f>
        <v>0</v>
      </c>
      <c r="N19" s="46">
        <v>0</v>
      </c>
      <c r="O19" s="46">
        <v>0</v>
      </c>
      <c r="P19" s="52">
        <f>IF(Setup!B26&lt;&gt;"",M19+N19-O19,"")</f>
        <v>0</v>
      </c>
      <c r="Q19" s="46">
        <v>0</v>
      </c>
      <c r="R19" s="47">
        <f>IF(Setup!B26&lt;&gt;"",L19-O19-Q19,"")</f>
        <v>0</v>
      </c>
    </row>
    <row r="20" spans="1:18" ht="21.75" customHeight="1" x14ac:dyDescent="0.3">
      <c r="A20" s="1" t="str">
        <f>Setup!B27</f>
        <v>Internet bill</v>
      </c>
      <c r="B20" s="40">
        <f>IF(Setup!B27&lt;&gt;"",Setup!C27,"")</f>
        <v>2500</v>
      </c>
      <c r="C20" s="41">
        <f>IF(Setup!B27&lt;&gt;"",$B3,"")</f>
        <v>216</v>
      </c>
      <c r="D20" s="42">
        <f>IF(Setup!B27&lt;&gt;"",Attendance_Oct!Q39,"")</f>
        <v>0</v>
      </c>
      <c r="E20" s="41">
        <f>IF(Setup!B27&lt;&gt;"",Attendance_Oct!Q40,"")</f>
        <v>0</v>
      </c>
      <c r="F20" s="43">
        <f>IFERROR(IF(Setup!B27&lt;&gt;"",B20/C20,""),"")</f>
        <v>11.574074074074074</v>
      </c>
      <c r="G20" s="42">
        <f>IF(Setup!B27&lt;&gt;"",MIN(D20,C20),"")</f>
        <v>0</v>
      </c>
      <c r="H20" s="42">
        <f>IF(Setup!B27&lt;&gt;"",MAX(D20-C20,0),"")</f>
        <v>0</v>
      </c>
      <c r="I20" s="16">
        <f>IF(Setup!B27&lt;&gt;"",F20*G20,"")</f>
        <v>0</v>
      </c>
      <c r="J20" s="16">
        <f>IF(Setup!B27&lt;&gt;"",F20*H20*$B4,"")</f>
        <v>0</v>
      </c>
      <c r="K20" s="16">
        <f>IF(Setup!B27&lt;&gt;"",IF(E20=0,$B5,0),"")</f>
        <v>0</v>
      </c>
      <c r="L20" s="44">
        <f>IF(Setup!B27&lt;&gt;"",I20+J20+K20,"")</f>
        <v>0</v>
      </c>
      <c r="M20" s="16">
        <f>IF(Setup!B27&lt;&gt;"",Payroll_Sep!P20,"")</f>
        <v>0</v>
      </c>
      <c r="N20" s="46">
        <v>0</v>
      </c>
      <c r="O20" s="46">
        <v>0</v>
      </c>
      <c r="P20" s="44">
        <f>IF(Setup!B27&lt;&gt;"",M20+N20-O20,"")</f>
        <v>0</v>
      </c>
      <c r="Q20" s="46">
        <v>0</v>
      </c>
      <c r="R20" s="47">
        <f>IF(Setup!B27&lt;&gt;"",L20-O20-Q20,"")</f>
        <v>0</v>
      </c>
    </row>
    <row r="21" spans="1:18" ht="21.75" customHeight="1" x14ac:dyDescent="0.3">
      <c r="A21" s="18" t="str">
        <f>Setup!B28</f>
        <v>Saqab</v>
      </c>
      <c r="B21" s="48">
        <f>IF(Setup!B28&lt;&gt;"",Setup!C28,"")</f>
        <v>25000</v>
      </c>
      <c r="C21" s="49">
        <f>IF(Setup!B28&lt;&gt;"",$B3,"")</f>
        <v>216</v>
      </c>
      <c r="D21" s="50">
        <f>IF(Setup!B28&lt;&gt;"",Attendance_Oct!R39,"")</f>
        <v>0</v>
      </c>
      <c r="E21" s="49">
        <f>IF(Setup!B28&lt;&gt;"",Attendance_Oct!R40,"")</f>
        <v>0</v>
      </c>
      <c r="F21" s="51">
        <f>IFERROR(IF(Setup!B28&lt;&gt;"",B21/C21,""),"")</f>
        <v>115.74074074074075</v>
      </c>
      <c r="G21" s="50">
        <f>IF(Setup!B28&lt;&gt;"",MIN(D21,C21),"")</f>
        <v>0</v>
      </c>
      <c r="H21" s="50">
        <f>IF(Setup!B28&lt;&gt;"",MAX(D21-C21,0),"")</f>
        <v>0</v>
      </c>
      <c r="I21" s="19">
        <f>IF(Setup!B28&lt;&gt;"",F21*G21,"")</f>
        <v>0</v>
      </c>
      <c r="J21" s="19">
        <f>IF(Setup!B28&lt;&gt;"",F21*H21*$B4,"")</f>
        <v>0</v>
      </c>
      <c r="K21" s="19">
        <f>IF(Setup!B28&lt;&gt;"",IF(E21=0,$B5,0),"")</f>
        <v>0</v>
      </c>
      <c r="L21" s="52">
        <f>IF(Setup!B28&lt;&gt;"",I21+J21+K21,"")</f>
        <v>0</v>
      </c>
      <c r="M21" s="19">
        <f>IF(Setup!B28&lt;&gt;"",Payroll_Sep!P21,"")</f>
        <v>0</v>
      </c>
      <c r="N21" s="46">
        <v>0</v>
      </c>
      <c r="O21" s="46">
        <v>0</v>
      </c>
      <c r="P21" s="52">
        <f>IF(Setup!B28&lt;&gt;"",M21+N21-O21,"")</f>
        <v>0</v>
      </c>
      <c r="Q21" s="46">
        <v>0</v>
      </c>
      <c r="R21" s="47">
        <f>IF(Setup!B28&lt;&gt;"",L21-O21-Q21,"")</f>
        <v>0</v>
      </c>
    </row>
    <row r="22" spans="1:18" ht="21.75" customHeight="1" x14ac:dyDescent="0.3">
      <c r="A22" s="1">
        <f>Setup!B29</f>
        <v>0</v>
      </c>
      <c r="B22" s="40" t="str">
        <f>IF(Setup!B29&lt;&gt;"",Setup!C29,"")</f>
        <v/>
      </c>
      <c r="C22" s="41" t="str">
        <f>IF(Setup!B29&lt;&gt;"",$B3,"")</f>
        <v/>
      </c>
      <c r="D22" s="42" t="str">
        <f>IF(Setup!B29&lt;&gt;"",Attendance_Oct!S39,"")</f>
        <v/>
      </c>
      <c r="E22" s="41" t="str">
        <f>IF(Setup!B29&lt;&gt;"",Attendance_Oct!S40,"")</f>
        <v/>
      </c>
      <c r="F22" s="43" t="str">
        <f>IFERROR(IF(Setup!B29&lt;&gt;"",B22/C22,""),"")</f>
        <v/>
      </c>
      <c r="G22" s="42" t="str">
        <f>IF(Setup!B29&lt;&gt;"",MIN(D22,C22),"")</f>
        <v/>
      </c>
      <c r="H22" s="42" t="str">
        <f>IF(Setup!B29&lt;&gt;"",MAX(D22-C22,0),"")</f>
        <v/>
      </c>
      <c r="I22" s="16" t="str">
        <f>IF(Setup!B29&lt;&gt;"",F22*G22,"")</f>
        <v/>
      </c>
      <c r="J22" s="16" t="str">
        <f>IF(Setup!B29&lt;&gt;"",F22*H22*$B4,"")</f>
        <v/>
      </c>
      <c r="K22" s="16" t="str">
        <f>IF(Setup!B29&lt;&gt;"",IF(E22=0,$B5,0),"")</f>
        <v/>
      </c>
      <c r="L22" s="44" t="str">
        <f>IF(Setup!B29&lt;&gt;"",I22+J22+K22,"")</f>
        <v/>
      </c>
      <c r="M22" s="16" t="str">
        <f>IF(Setup!B29&lt;&gt;"",Payroll_Sep!P22,"")</f>
        <v/>
      </c>
      <c r="N22" s="46">
        <v>0</v>
      </c>
      <c r="O22" s="46">
        <v>0</v>
      </c>
      <c r="P22" s="44" t="str">
        <f>IF(Setup!B29&lt;&gt;"",M22+N22-O22,"")</f>
        <v/>
      </c>
      <c r="Q22" s="46">
        <v>0</v>
      </c>
      <c r="R22" s="47" t="str">
        <f>IF(Setup!B29&lt;&gt;"",L22-O22-Q22,"")</f>
        <v/>
      </c>
    </row>
    <row r="23" spans="1:18" ht="21.75" customHeight="1" x14ac:dyDescent="0.3">
      <c r="A23" s="18">
        <f>Setup!B30</f>
        <v>0</v>
      </c>
      <c r="B23" s="48" t="str">
        <f>IF(Setup!B30&lt;&gt;"",Setup!C30,"")</f>
        <v/>
      </c>
      <c r="C23" s="49" t="str">
        <f>IF(Setup!B30&lt;&gt;"",$B3,"")</f>
        <v/>
      </c>
      <c r="D23" s="50" t="str">
        <f>IF(Setup!B30&lt;&gt;"",Attendance_Oct!T39,"")</f>
        <v/>
      </c>
      <c r="E23" s="49" t="str">
        <f>IF(Setup!B30&lt;&gt;"",Attendance_Oct!T40,"")</f>
        <v/>
      </c>
      <c r="F23" s="51" t="str">
        <f>IFERROR(IF(Setup!B30&lt;&gt;"",B23/C23,""),"")</f>
        <v/>
      </c>
      <c r="G23" s="50" t="str">
        <f>IF(Setup!B30&lt;&gt;"",MIN(D23,C23),"")</f>
        <v/>
      </c>
      <c r="H23" s="50" t="str">
        <f>IF(Setup!B30&lt;&gt;"",MAX(D23-C23,0),"")</f>
        <v/>
      </c>
      <c r="I23" s="19" t="str">
        <f>IF(Setup!B30&lt;&gt;"",F23*G23,"")</f>
        <v/>
      </c>
      <c r="J23" s="19" t="str">
        <f>IF(Setup!B30&lt;&gt;"",F23*H23*$B4,"")</f>
        <v/>
      </c>
      <c r="K23" s="19" t="str">
        <f>IF(Setup!B30&lt;&gt;"",IF(E23=0,$B5,0),"")</f>
        <v/>
      </c>
      <c r="L23" s="52" t="str">
        <f>IF(Setup!B30&lt;&gt;"",I23+J23+K23,"")</f>
        <v/>
      </c>
      <c r="M23" s="19" t="str">
        <f>IF(Setup!B30&lt;&gt;"",Payroll_Sep!P23,"")</f>
        <v/>
      </c>
      <c r="N23" s="46">
        <v>0</v>
      </c>
      <c r="O23" s="46">
        <v>0</v>
      </c>
      <c r="P23" s="52" t="str">
        <f>IF(Setup!B30&lt;&gt;"",M23+N23-O23,"")</f>
        <v/>
      </c>
      <c r="Q23" s="46">
        <v>0</v>
      </c>
      <c r="R23" s="47" t="str">
        <f>IF(Setup!B30&lt;&gt;"",L23-O23-Q23,"")</f>
        <v/>
      </c>
    </row>
    <row r="24" spans="1:18" ht="21.75" customHeight="1" x14ac:dyDescent="0.3">
      <c r="A24" s="1">
        <f>Setup!B31</f>
        <v>0</v>
      </c>
      <c r="B24" s="40" t="str">
        <f>IF(Setup!B31&lt;&gt;"",Setup!C31,"")</f>
        <v/>
      </c>
      <c r="C24" s="41" t="str">
        <f>IF(Setup!B31&lt;&gt;"",$B3,"")</f>
        <v/>
      </c>
      <c r="D24" s="42" t="str">
        <f>IF(Setup!B31&lt;&gt;"",Attendance_Oct!U39,"")</f>
        <v/>
      </c>
      <c r="E24" s="41" t="str">
        <f>IF(Setup!B31&lt;&gt;"",Attendance_Oct!U40,"")</f>
        <v/>
      </c>
      <c r="F24" s="43" t="str">
        <f>IFERROR(IF(Setup!B31&lt;&gt;"",B24/C24,""),"")</f>
        <v/>
      </c>
      <c r="G24" s="42" t="str">
        <f>IF(Setup!B31&lt;&gt;"",MIN(D24,C24),"")</f>
        <v/>
      </c>
      <c r="H24" s="42" t="str">
        <f>IF(Setup!B31&lt;&gt;"",MAX(D24-C24,0),"")</f>
        <v/>
      </c>
      <c r="I24" s="16" t="str">
        <f>IF(Setup!B31&lt;&gt;"",F24*G24,"")</f>
        <v/>
      </c>
      <c r="J24" s="16" t="str">
        <f>IF(Setup!B31&lt;&gt;"",F24*H24*$B4,"")</f>
        <v/>
      </c>
      <c r="K24" s="16" t="str">
        <f>IF(Setup!B31&lt;&gt;"",IF(E24=0,$B5,0),"")</f>
        <v/>
      </c>
      <c r="L24" s="44" t="str">
        <f>IF(Setup!B31&lt;&gt;"",I24+J24+K24,"")</f>
        <v/>
      </c>
      <c r="M24" s="16" t="str">
        <f>IF(Setup!B31&lt;&gt;"",Payroll_Sep!P24,"")</f>
        <v/>
      </c>
      <c r="N24" s="46">
        <v>0</v>
      </c>
      <c r="O24" s="46">
        <v>0</v>
      </c>
      <c r="P24" s="44" t="str">
        <f>IF(Setup!B31&lt;&gt;"",M24+N24-O24,"")</f>
        <v/>
      </c>
      <c r="Q24" s="46">
        <v>0</v>
      </c>
      <c r="R24" s="47" t="str">
        <f>IF(Setup!B31&lt;&gt;"",L24-O24-Q24,"")</f>
        <v/>
      </c>
    </row>
    <row r="25" spans="1:18" ht="21.75" customHeight="1" x14ac:dyDescent="0.3">
      <c r="A25" s="18">
        <f>Setup!B32</f>
        <v>0</v>
      </c>
      <c r="B25" s="48" t="str">
        <f>IF(Setup!B32&lt;&gt;"",Setup!C32,"")</f>
        <v/>
      </c>
      <c r="C25" s="49" t="str">
        <f>IF(Setup!B32&lt;&gt;"",$B3,"")</f>
        <v/>
      </c>
      <c r="D25" s="50" t="str">
        <f>IF(Setup!B32&lt;&gt;"",Attendance_Oct!V39,"")</f>
        <v/>
      </c>
      <c r="E25" s="49" t="str">
        <f>IF(Setup!B32&lt;&gt;"",Attendance_Oct!V40,"")</f>
        <v/>
      </c>
      <c r="F25" s="51" t="str">
        <f>IFERROR(IF(Setup!B32&lt;&gt;"",B25/C25,""),"")</f>
        <v/>
      </c>
      <c r="G25" s="50" t="str">
        <f>IF(Setup!B32&lt;&gt;"",MIN(D25,C25),"")</f>
        <v/>
      </c>
      <c r="H25" s="50" t="str">
        <f>IF(Setup!B32&lt;&gt;"",MAX(D25-C25,0),"")</f>
        <v/>
      </c>
      <c r="I25" s="19" t="str">
        <f>IF(Setup!B32&lt;&gt;"",F25*G25,"")</f>
        <v/>
      </c>
      <c r="J25" s="19" t="str">
        <f>IF(Setup!B32&lt;&gt;"",F25*H25*$B4,"")</f>
        <v/>
      </c>
      <c r="K25" s="19" t="str">
        <f>IF(Setup!B32&lt;&gt;"",IF(E25=0,$B5,0),"")</f>
        <v/>
      </c>
      <c r="L25" s="52" t="str">
        <f>IF(Setup!B32&lt;&gt;"",I25+J25+K25,"")</f>
        <v/>
      </c>
      <c r="M25" s="19" t="str">
        <f>IF(Setup!B32&lt;&gt;"",Payroll_Sep!P25,"")</f>
        <v/>
      </c>
      <c r="N25" s="46">
        <v>0</v>
      </c>
      <c r="O25" s="46">
        <v>0</v>
      </c>
      <c r="P25" s="52" t="str">
        <f>IF(Setup!B32&lt;&gt;"",M25+N25-O25,"")</f>
        <v/>
      </c>
      <c r="Q25" s="46">
        <v>0</v>
      </c>
      <c r="R25" s="47" t="str">
        <f>IF(Setup!B32&lt;&gt;"",L25-O25-Q25,"")</f>
        <v/>
      </c>
    </row>
    <row r="26" spans="1:18" ht="21.75" customHeight="1" x14ac:dyDescent="0.3">
      <c r="A26" s="1">
        <f>Setup!B33</f>
        <v>0</v>
      </c>
      <c r="B26" s="40" t="str">
        <f>IF(Setup!B33&lt;&gt;"",Setup!C33,"")</f>
        <v/>
      </c>
      <c r="C26" s="41" t="str">
        <f>IF(Setup!B33&lt;&gt;"",$B3,"")</f>
        <v/>
      </c>
      <c r="D26" s="42" t="str">
        <f>IF(Setup!B33&lt;&gt;"",Attendance_Oct!W39,"")</f>
        <v/>
      </c>
      <c r="E26" s="41" t="str">
        <f>IF(Setup!B33&lt;&gt;"",Attendance_Oct!W40,"")</f>
        <v/>
      </c>
      <c r="F26" s="43" t="str">
        <f>IFERROR(IF(Setup!B33&lt;&gt;"",B26/C26,""),"")</f>
        <v/>
      </c>
      <c r="G26" s="42" t="str">
        <f>IF(Setup!B33&lt;&gt;"",MIN(D26,C26),"")</f>
        <v/>
      </c>
      <c r="H26" s="42" t="str">
        <f>IF(Setup!B33&lt;&gt;"",MAX(D26-C26,0),"")</f>
        <v/>
      </c>
      <c r="I26" s="16" t="str">
        <f>IF(Setup!B33&lt;&gt;"",F26*G26,"")</f>
        <v/>
      </c>
      <c r="J26" s="16" t="str">
        <f>IF(Setup!B33&lt;&gt;"",F26*H26*$B4,"")</f>
        <v/>
      </c>
      <c r="K26" s="16" t="str">
        <f>IF(Setup!B33&lt;&gt;"",IF(E26=0,$B5,0),"")</f>
        <v/>
      </c>
      <c r="L26" s="44" t="str">
        <f>IF(Setup!B33&lt;&gt;"",I26+J26+K26,"")</f>
        <v/>
      </c>
      <c r="M26" s="16" t="str">
        <f>IF(Setup!B33&lt;&gt;"",Payroll_Sep!P26,"")</f>
        <v/>
      </c>
      <c r="N26" s="46">
        <v>0</v>
      </c>
      <c r="O26" s="46">
        <v>0</v>
      </c>
      <c r="P26" s="44" t="str">
        <f>IF(Setup!B33&lt;&gt;"",M26+N26-O26,"")</f>
        <v/>
      </c>
      <c r="Q26" s="46">
        <v>0</v>
      </c>
      <c r="R26" s="47" t="str">
        <f>IF(Setup!B33&lt;&gt;"",L26-O26-Q26,"")</f>
        <v/>
      </c>
    </row>
    <row r="27" spans="1:18" ht="21.75" customHeight="1" x14ac:dyDescent="0.3">
      <c r="A27" s="18">
        <f>Setup!B34</f>
        <v>0</v>
      </c>
      <c r="B27" s="48" t="str">
        <f>IF(Setup!B34&lt;&gt;"",Setup!C34,"")</f>
        <v/>
      </c>
      <c r="C27" s="49" t="str">
        <f>IF(Setup!B34&lt;&gt;"",$B3,"")</f>
        <v/>
      </c>
      <c r="D27" s="50" t="str">
        <f>IF(Setup!B34&lt;&gt;"",Attendance_Oct!X39,"")</f>
        <v/>
      </c>
      <c r="E27" s="49" t="str">
        <f>IF(Setup!B34&lt;&gt;"",Attendance_Oct!X40,"")</f>
        <v/>
      </c>
      <c r="F27" s="51" t="str">
        <f>IFERROR(IF(Setup!B34&lt;&gt;"",B27/C27,""),"")</f>
        <v/>
      </c>
      <c r="G27" s="50" t="str">
        <f>IF(Setup!B34&lt;&gt;"",MIN(D27,C27),"")</f>
        <v/>
      </c>
      <c r="H27" s="50" t="str">
        <f>IF(Setup!B34&lt;&gt;"",MAX(D27-C27,0),"")</f>
        <v/>
      </c>
      <c r="I27" s="19" t="str">
        <f>IF(Setup!B34&lt;&gt;"",F27*G27,"")</f>
        <v/>
      </c>
      <c r="J27" s="19" t="str">
        <f>IF(Setup!B34&lt;&gt;"",F27*H27*$B4,"")</f>
        <v/>
      </c>
      <c r="K27" s="19" t="str">
        <f>IF(Setup!B34&lt;&gt;"",IF(E27=0,$B5,0),"")</f>
        <v/>
      </c>
      <c r="L27" s="52" t="str">
        <f>IF(Setup!B34&lt;&gt;"",I27+J27+K27,"")</f>
        <v/>
      </c>
      <c r="M27" s="19" t="str">
        <f>IF(Setup!B34&lt;&gt;"",Payroll_Sep!P27,"")</f>
        <v/>
      </c>
      <c r="N27" s="46">
        <v>0</v>
      </c>
      <c r="O27" s="46">
        <v>0</v>
      </c>
      <c r="P27" s="52" t="str">
        <f>IF(Setup!B34&lt;&gt;"",M27+N27-O27,"")</f>
        <v/>
      </c>
      <c r="Q27" s="46">
        <v>0</v>
      </c>
      <c r="R27" s="47" t="str">
        <f>IF(Setup!B34&lt;&gt;"",L27-O27-Q27,"")</f>
        <v/>
      </c>
    </row>
    <row r="28" spans="1:18" ht="21.75" customHeight="1" x14ac:dyDescent="0.3">
      <c r="A28" s="1">
        <f>Setup!B35</f>
        <v>0</v>
      </c>
      <c r="B28" s="40" t="str">
        <f>IF(Setup!B35&lt;&gt;"",Setup!C35,"")</f>
        <v/>
      </c>
      <c r="C28" s="41" t="str">
        <f>IF(Setup!B35&lt;&gt;"",$B3,"")</f>
        <v/>
      </c>
      <c r="D28" s="42" t="str">
        <f>IF(Setup!B35&lt;&gt;"",Attendance_Oct!Y39,"")</f>
        <v/>
      </c>
      <c r="E28" s="41" t="str">
        <f>IF(Setup!B35&lt;&gt;"",Attendance_Oct!Y40,"")</f>
        <v/>
      </c>
      <c r="F28" s="43" t="str">
        <f>IFERROR(IF(Setup!B35&lt;&gt;"",B28/C28,""),"")</f>
        <v/>
      </c>
      <c r="G28" s="42" t="str">
        <f>IF(Setup!B35&lt;&gt;"",MIN(D28,C28),"")</f>
        <v/>
      </c>
      <c r="H28" s="42" t="str">
        <f>IF(Setup!B35&lt;&gt;"",MAX(D28-C28,0),"")</f>
        <v/>
      </c>
      <c r="I28" s="16" t="str">
        <f>IF(Setup!B35&lt;&gt;"",F28*G28,"")</f>
        <v/>
      </c>
      <c r="J28" s="16" t="str">
        <f>IF(Setup!B35&lt;&gt;"",F28*H28*$B4,"")</f>
        <v/>
      </c>
      <c r="K28" s="16" t="str">
        <f>IF(Setup!B35&lt;&gt;"",IF(E28=0,$B5,0),"")</f>
        <v/>
      </c>
      <c r="L28" s="44" t="str">
        <f>IF(Setup!B35&lt;&gt;"",I28+J28+K28,"")</f>
        <v/>
      </c>
      <c r="M28" s="16" t="str">
        <f>IF(Setup!B35&lt;&gt;"",Payroll_Sep!P28,"")</f>
        <v/>
      </c>
      <c r="N28" s="46">
        <v>0</v>
      </c>
      <c r="O28" s="46">
        <v>0</v>
      </c>
      <c r="P28" s="44" t="str">
        <f>IF(Setup!B35&lt;&gt;"",M28+N28-O28,"")</f>
        <v/>
      </c>
      <c r="Q28" s="46">
        <v>0</v>
      </c>
      <c r="R28" s="47" t="str">
        <f>IF(Setup!B35&lt;&gt;"",L28-O28-Q28,"")</f>
        <v/>
      </c>
    </row>
    <row r="29" spans="1:18" ht="21.75" customHeight="1" x14ac:dyDescent="0.3">
      <c r="A29" s="18">
        <f>Setup!B36</f>
        <v>0</v>
      </c>
      <c r="B29" s="48" t="str">
        <f>IF(Setup!B36&lt;&gt;"",Setup!C36,"")</f>
        <v/>
      </c>
      <c r="C29" s="49" t="str">
        <f>IF(Setup!B36&lt;&gt;"",$B3,"")</f>
        <v/>
      </c>
      <c r="D29" s="50" t="str">
        <f>IF(Setup!B36&lt;&gt;"",Attendance_Oct!Z39,"")</f>
        <v/>
      </c>
      <c r="E29" s="49" t="str">
        <f>IF(Setup!B36&lt;&gt;"",Attendance_Oct!Z40,"")</f>
        <v/>
      </c>
      <c r="F29" s="51" t="str">
        <f>IFERROR(IF(Setup!B36&lt;&gt;"",B29/C29,""),"")</f>
        <v/>
      </c>
      <c r="G29" s="50" t="str">
        <f>IF(Setup!B36&lt;&gt;"",MIN(D29,C29),"")</f>
        <v/>
      </c>
      <c r="H29" s="50" t="str">
        <f>IF(Setup!B36&lt;&gt;"",MAX(D29-C29,0),"")</f>
        <v/>
      </c>
      <c r="I29" s="19" t="str">
        <f>IF(Setup!B36&lt;&gt;"",F29*G29,"")</f>
        <v/>
      </c>
      <c r="J29" s="19" t="str">
        <f>IF(Setup!B36&lt;&gt;"",F29*H29*$B4,"")</f>
        <v/>
      </c>
      <c r="K29" s="19" t="str">
        <f>IF(Setup!B36&lt;&gt;"",IF(E29=0,$B5,0),"")</f>
        <v/>
      </c>
      <c r="L29" s="52" t="str">
        <f>IF(Setup!B36&lt;&gt;"",I29+J29+K29,"")</f>
        <v/>
      </c>
      <c r="M29" s="19" t="str">
        <f>IF(Setup!B36&lt;&gt;"",Payroll_Sep!P29,"")</f>
        <v/>
      </c>
      <c r="N29" s="46">
        <v>0</v>
      </c>
      <c r="O29" s="46">
        <v>0</v>
      </c>
      <c r="P29" s="52" t="str">
        <f>IF(Setup!B36&lt;&gt;"",M29+N29-O29,"")</f>
        <v/>
      </c>
      <c r="Q29" s="46">
        <v>0</v>
      </c>
      <c r="R29" s="47" t="str">
        <f>IF(Setup!B36&lt;&gt;"",L29-O29-Q29,"")</f>
        <v/>
      </c>
    </row>
    <row r="30" spans="1:18" ht="21.75" customHeight="1" x14ac:dyDescent="0.3">
      <c r="A30" s="1">
        <f>Setup!B37</f>
        <v>0</v>
      </c>
      <c r="B30" s="40" t="str">
        <f>IF(Setup!B37&lt;&gt;"",Setup!C37,"")</f>
        <v/>
      </c>
      <c r="C30" s="41" t="str">
        <f>IF(Setup!B37&lt;&gt;"",$B3,"")</f>
        <v/>
      </c>
      <c r="D30" s="42" t="str">
        <f>IF(Setup!B37&lt;&gt;"",Attendance_Oct!AA39,"")</f>
        <v/>
      </c>
      <c r="E30" s="41" t="str">
        <f>IF(Setup!B37&lt;&gt;"",Attendance_Oct!AA40,"")</f>
        <v/>
      </c>
      <c r="F30" s="43" t="str">
        <f>IFERROR(IF(Setup!B37&lt;&gt;"",B30/C30,""),"")</f>
        <v/>
      </c>
      <c r="G30" s="42" t="str">
        <f>IF(Setup!B37&lt;&gt;"",MIN(D30,C30),"")</f>
        <v/>
      </c>
      <c r="H30" s="42" t="str">
        <f>IF(Setup!B37&lt;&gt;"",MAX(D30-C30,0),"")</f>
        <v/>
      </c>
      <c r="I30" s="16" t="str">
        <f>IF(Setup!B37&lt;&gt;"",F30*G30,"")</f>
        <v/>
      </c>
      <c r="J30" s="16" t="str">
        <f>IF(Setup!B37&lt;&gt;"",F30*H30*$B4,"")</f>
        <v/>
      </c>
      <c r="K30" s="16" t="str">
        <f>IF(Setup!B37&lt;&gt;"",IF(E30=0,$B5,0),"")</f>
        <v/>
      </c>
      <c r="L30" s="44" t="str">
        <f>IF(Setup!B37&lt;&gt;"",I30+J30+K30,"")</f>
        <v/>
      </c>
      <c r="M30" s="16" t="str">
        <f>IF(Setup!B37&lt;&gt;"",Payroll_Sep!P30,"")</f>
        <v/>
      </c>
      <c r="N30" s="46">
        <v>0</v>
      </c>
      <c r="O30" s="46">
        <v>0</v>
      </c>
      <c r="P30" s="44" t="str">
        <f>IF(Setup!B37&lt;&gt;"",M30+N30-O30,"")</f>
        <v/>
      </c>
      <c r="Q30" s="46">
        <v>0</v>
      </c>
      <c r="R30" s="47" t="str">
        <f>IF(Setup!B37&lt;&gt;"",L30-O30-Q30,"")</f>
        <v/>
      </c>
    </row>
    <row r="31" spans="1:18" ht="21.75" customHeight="1" x14ac:dyDescent="0.3">
      <c r="A31" s="18">
        <f>Setup!B38</f>
        <v>0</v>
      </c>
      <c r="B31" s="48" t="str">
        <f>IF(Setup!B38&lt;&gt;"",Setup!C38,"")</f>
        <v/>
      </c>
      <c r="C31" s="49" t="str">
        <f>IF(Setup!B38&lt;&gt;"",$B3,"")</f>
        <v/>
      </c>
      <c r="D31" s="50" t="str">
        <f>IF(Setup!B38&lt;&gt;"",Attendance_Oct!AB39,"")</f>
        <v/>
      </c>
      <c r="E31" s="49" t="str">
        <f>IF(Setup!B38&lt;&gt;"",Attendance_Oct!AB40,"")</f>
        <v/>
      </c>
      <c r="F31" s="51" t="str">
        <f>IFERROR(IF(Setup!B38&lt;&gt;"",B31/C31,""),"")</f>
        <v/>
      </c>
      <c r="G31" s="50" t="str">
        <f>IF(Setup!B38&lt;&gt;"",MIN(D31,C31),"")</f>
        <v/>
      </c>
      <c r="H31" s="50" t="str">
        <f>IF(Setup!B38&lt;&gt;"",MAX(D31-C31,0),"")</f>
        <v/>
      </c>
      <c r="I31" s="19" t="str">
        <f>IF(Setup!B38&lt;&gt;"",F31*G31,"")</f>
        <v/>
      </c>
      <c r="J31" s="19" t="str">
        <f>IF(Setup!B38&lt;&gt;"",F31*H31*$B4,"")</f>
        <v/>
      </c>
      <c r="K31" s="19" t="str">
        <f>IF(Setup!B38&lt;&gt;"",IF(E31=0,$B5,0),"")</f>
        <v/>
      </c>
      <c r="L31" s="52" t="str">
        <f>IF(Setup!B38&lt;&gt;"",I31+J31+K31,"")</f>
        <v/>
      </c>
      <c r="M31" s="19" t="str">
        <f>IF(Setup!B38&lt;&gt;"",Payroll_Sep!P31,"")</f>
        <v/>
      </c>
      <c r="N31" s="46">
        <v>0</v>
      </c>
      <c r="O31" s="46">
        <v>0</v>
      </c>
      <c r="P31" s="52" t="str">
        <f>IF(Setup!B38&lt;&gt;"",M31+N31-O31,"")</f>
        <v/>
      </c>
      <c r="Q31" s="46">
        <v>0</v>
      </c>
      <c r="R31" s="47" t="str">
        <f>IF(Setup!B38&lt;&gt;"",L31-O31-Q31,"")</f>
        <v/>
      </c>
    </row>
    <row r="32" spans="1:18" ht="21.75" customHeight="1" x14ac:dyDescent="0.3">
      <c r="A32" s="1">
        <f>Setup!B39</f>
        <v>0</v>
      </c>
      <c r="B32" s="40" t="str">
        <f>IF(Setup!B39&lt;&gt;"",Setup!C39,"")</f>
        <v/>
      </c>
      <c r="C32" s="41" t="str">
        <f>IF(Setup!B39&lt;&gt;"",$B3,"")</f>
        <v/>
      </c>
      <c r="D32" s="42" t="str">
        <f>IF(Setup!B39&lt;&gt;"",Attendance_Oct!AC39,"")</f>
        <v/>
      </c>
      <c r="E32" s="41" t="str">
        <f>IF(Setup!B39&lt;&gt;"",Attendance_Oct!AC40,"")</f>
        <v/>
      </c>
      <c r="F32" s="43" t="str">
        <f>IFERROR(IF(Setup!B39&lt;&gt;"",B32/C32,""),"")</f>
        <v/>
      </c>
      <c r="G32" s="42" t="str">
        <f>IF(Setup!B39&lt;&gt;"",MIN(D32,C32),"")</f>
        <v/>
      </c>
      <c r="H32" s="42" t="str">
        <f>IF(Setup!B39&lt;&gt;"",MAX(D32-C32,0),"")</f>
        <v/>
      </c>
      <c r="I32" s="16" t="str">
        <f>IF(Setup!B39&lt;&gt;"",F32*G32,"")</f>
        <v/>
      </c>
      <c r="J32" s="16" t="str">
        <f>IF(Setup!B39&lt;&gt;"",F32*H32*$B4,"")</f>
        <v/>
      </c>
      <c r="K32" s="16" t="str">
        <f>IF(Setup!B39&lt;&gt;"",IF(E32=0,$B5,0),"")</f>
        <v/>
      </c>
      <c r="L32" s="44" t="str">
        <f>IF(Setup!B39&lt;&gt;"",I32+J32+K32,"")</f>
        <v/>
      </c>
      <c r="M32" s="16" t="str">
        <f>IF(Setup!B39&lt;&gt;"",Payroll_Sep!P32,"")</f>
        <v/>
      </c>
      <c r="N32" s="46">
        <v>0</v>
      </c>
      <c r="O32" s="46">
        <v>0</v>
      </c>
      <c r="P32" s="44" t="str">
        <f>IF(Setup!B39&lt;&gt;"",M32+N32-O32,"")</f>
        <v/>
      </c>
      <c r="Q32" s="46">
        <v>0</v>
      </c>
      <c r="R32" s="47" t="str">
        <f>IF(Setup!B39&lt;&gt;"",L32-O32-Q32,"")</f>
        <v/>
      </c>
    </row>
    <row r="33" spans="1:18" ht="21.75" customHeight="1" x14ac:dyDescent="0.3">
      <c r="A33" s="18">
        <f>Setup!B40</f>
        <v>0</v>
      </c>
      <c r="B33" s="48" t="str">
        <f>IF(Setup!B40&lt;&gt;"",Setup!C40,"")</f>
        <v/>
      </c>
      <c r="C33" s="49" t="str">
        <f>IF(Setup!B40&lt;&gt;"",$B3,"")</f>
        <v/>
      </c>
      <c r="D33" s="50" t="str">
        <f>IF(Setup!B40&lt;&gt;"",Attendance_Oct!AD39,"")</f>
        <v/>
      </c>
      <c r="E33" s="49" t="str">
        <f>IF(Setup!B40&lt;&gt;"",Attendance_Oct!AD40,"")</f>
        <v/>
      </c>
      <c r="F33" s="51" t="str">
        <f>IFERROR(IF(Setup!B40&lt;&gt;"",B33/C33,""),"")</f>
        <v/>
      </c>
      <c r="G33" s="50" t="str">
        <f>IF(Setup!B40&lt;&gt;"",MIN(D33,C33),"")</f>
        <v/>
      </c>
      <c r="H33" s="50" t="str">
        <f>IF(Setup!B40&lt;&gt;"",MAX(D33-C33,0),"")</f>
        <v/>
      </c>
      <c r="I33" s="19" t="str">
        <f>IF(Setup!B40&lt;&gt;"",F33*G33,"")</f>
        <v/>
      </c>
      <c r="J33" s="19" t="str">
        <f>IF(Setup!B40&lt;&gt;"",F33*H33*$B4,"")</f>
        <v/>
      </c>
      <c r="K33" s="19" t="str">
        <f>IF(Setup!B40&lt;&gt;"",IF(E33=0,$B5,0),"")</f>
        <v/>
      </c>
      <c r="L33" s="52" t="str">
        <f>IF(Setup!B40&lt;&gt;"",I33+J33+K33,"")</f>
        <v/>
      </c>
      <c r="M33" s="19" t="str">
        <f>IF(Setup!B40&lt;&gt;"",Payroll_Sep!P33,"")</f>
        <v/>
      </c>
      <c r="N33" s="46">
        <v>0</v>
      </c>
      <c r="O33" s="46">
        <v>0</v>
      </c>
      <c r="P33" s="52" t="str">
        <f>IF(Setup!B40&lt;&gt;"",M33+N33-O33,"")</f>
        <v/>
      </c>
      <c r="Q33" s="46">
        <v>0</v>
      </c>
      <c r="R33" s="47" t="str">
        <f>IF(Setup!B40&lt;&gt;"",L33-O33-Q33,"")</f>
        <v/>
      </c>
    </row>
    <row r="34" spans="1:18" ht="21.75" customHeight="1" x14ac:dyDescent="0.3">
      <c r="A34" s="1">
        <f>Setup!B41</f>
        <v>0</v>
      </c>
      <c r="B34" s="40" t="str">
        <f>IF(Setup!B41&lt;&gt;"",Setup!C41,"")</f>
        <v/>
      </c>
      <c r="C34" s="41" t="str">
        <f>IF(Setup!B41&lt;&gt;"",$B3,"")</f>
        <v/>
      </c>
      <c r="D34" s="42" t="str">
        <f>IF(Setup!B41&lt;&gt;"",Attendance_Oct!AE39,"")</f>
        <v/>
      </c>
      <c r="E34" s="41" t="str">
        <f>IF(Setup!B41&lt;&gt;"",Attendance_Oct!AE40,"")</f>
        <v/>
      </c>
      <c r="F34" s="43" t="str">
        <f>IFERROR(IF(Setup!B41&lt;&gt;"",B34/C34,""),"")</f>
        <v/>
      </c>
      <c r="G34" s="42" t="str">
        <f>IF(Setup!B41&lt;&gt;"",MIN(D34,C34),"")</f>
        <v/>
      </c>
      <c r="H34" s="42" t="str">
        <f>IF(Setup!B41&lt;&gt;"",MAX(D34-C34,0),"")</f>
        <v/>
      </c>
      <c r="I34" s="16" t="str">
        <f>IF(Setup!B41&lt;&gt;"",F34*G34,"")</f>
        <v/>
      </c>
      <c r="J34" s="16" t="str">
        <f>IF(Setup!B41&lt;&gt;"",F34*H34*$B4,"")</f>
        <v/>
      </c>
      <c r="K34" s="16" t="str">
        <f>IF(Setup!B41&lt;&gt;"",IF(E34=0,$B5,0),"")</f>
        <v/>
      </c>
      <c r="L34" s="44" t="str">
        <f>IF(Setup!B41&lt;&gt;"",I34+J34+K34,"")</f>
        <v/>
      </c>
      <c r="M34" s="16" t="str">
        <f>IF(Setup!B41&lt;&gt;"",Payroll_Sep!P34,"")</f>
        <v/>
      </c>
      <c r="N34" s="46">
        <v>0</v>
      </c>
      <c r="O34" s="46">
        <v>0</v>
      </c>
      <c r="P34" s="44" t="str">
        <f>IF(Setup!B41&lt;&gt;"",M34+N34-O34,"")</f>
        <v/>
      </c>
      <c r="Q34" s="46">
        <v>0</v>
      </c>
      <c r="R34" s="47" t="str">
        <f>IF(Setup!B41&lt;&gt;"",L34-O34-Q34,"")</f>
        <v/>
      </c>
    </row>
    <row r="35" spans="1:18" ht="21.75" customHeight="1" x14ac:dyDescent="0.3">
      <c r="A35" s="18">
        <f>Setup!B42</f>
        <v>0</v>
      </c>
      <c r="B35" s="48" t="str">
        <f>IF(Setup!B42&lt;&gt;"",Setup!C42,"")</f>
        <v/>
      </c>
      <c r="C35" s="49" t="str">
        <f>IF(Setup!B42&lt;&gt;"",$B3,"")</f>
        <v/>
      </c>
      <c r="D35" s="50" t="str">
        <f>IF(Setup!B42&lt;&gt;"",Attendance_Oct!AF39,"")</f>
        <v/>
      </c>
      <c r="E35" s="49" t="str">
        <f>IF(Setup!B42&lt;&gt;"",Attendance_Oct!AF40,"")</f>
        <v/>
      </c>
      <c r="F35" s="51" t="str">
        <f>IFERROR(IF(Setup!B42&lt;&gt;"",B35/C35,""),"")</f>
        <v/>
      </c>
      <c r="G35" s="50" t="str">
        <f>IF(Setup!B42&lt;&gt;"",MIN(D35,C35),"")</f>
        <v/>
      </c>
      <c r="H35" s="50" t="str">
        <f>IF(Setup!B42&lt;&gt;"",MAX(D35-C35,0),"")</f>
        <v/>
      </c>
      <c r="I35" s="19" t="str">
        <f>IF(Setup!B42&lt;&gt;"",F35*G35,"")</f>
        <v/>
      </c>
      <c r="J35" s="19" t="str">
        <f>IF(Setup!B42&lt;&gt;"",F35*H35*$B4,"")</f>
        <v/>
      </c>
      <c r="K35" s="19" t="str">
        <f>IF(Setup!B42&lt;&gt;"",IF(E35=0,$B5,0),"")</f>
        <v/>
      </c>
      <c r="L35" s="52" t="str">
        <f>IF(Setup!B42&lt;&gt;"",I35+J35+K35,"")</f>
        <v/>
      </c>
      <c r="M35" s="19" t="str">
        <f>IF(Setup!B42&lt;&gt;"",Payroll_Sep!P35,"")</f>
        <v/>
      </c>
      <c r="N35" s="46">
        <v>0</v>
      </c>
      <c r="O35" s="46">
        <v>0</v>
      </c>
      <c r="P35" s="52" t="str">
        <f>IF(Setup!B42&lt;&gt;"",M35+N35-O35,"")</f>
        <v/>
      </c>
      <c r="Q35" s="46">
        <v>0</v>
      </c>
      <c r="R35" s="47" t="str">
        <f>IF(Setup!B42&lt;&gt;"",L35-O35-Q35,"")</f>
        <v/>
      </c>
    </row>
    <row r="36" spans="1:18" ht="21.75" customHeight="1" x14ac:dyDescent="0.3">
      <c r="A36" s="1">
        <f>Setup!B43</f>
        <v>0</v>
      </c>
      <c r="B36" s="40" t="str">
        <f>IF(Setup!B43&lt;&gt;"",Setup!C43,"")</f>
        <v/>
      </c>
      <c r="C36" s="41" t="str">
        <f>IF(Setup!B43&lt;&gt;"",$B3,"")</f>
        <v/>
      </c>
      <c r="D36" s="42" t="str">
        <f>IF(Setup!B43&lt;&gt;"",Attendance_Oct!AG39,"")</f>
        <v/>
      </c>
      <c r="E36" s="41" t="str">
        <f>IF(Setup!B43&lt;&gt;"",Attendance_Oct!AG40,"")</f>
        <v/>
      </c>
      <c r="F36" s="43" t="str">
        <f>IFERROR(IF(Setup!B43&lt;&gt;"",B36/C36,""),"")</f>
        <v/>
      </c>
      <c r="G36" s="42" t="str">
        <f>IF(Setup!B43&lt;&gt;"",MIN(D36,C36),"")</f>
        <v/>
      </c>
      <c r="H36" s="42" t="str">
        <f>IF(Setup!B43&lt;&gt;"",MAX(D36-C36,0),"")</f>
        <v/>
      </c>
      <c r="I36" s="16" t="str">
        <f>IF(Setup!B43&lt;&gt;"",F36*G36,"")</f>
        <v/>
      </c>
      <c r="J36" s="16" t="str">
        <f>IF(Setup!B43&lt;&gt;"",F36*H36*$B4,"")</f>
        <v/>
      </c>
      <c r="K36" s="16" t="str">
        <f>IF(Setup!B43&lt;&gt;"",IF(E36=0,$B5,0),"")</f>
        <v/>
      </c>
      <c r="L36" s="44" t="str">
        <f>IF(Setup!B43&lt;&gt;"",I36+J36+K36,"")</f>
        <v/>
      </c>
      <c r="M36" s="16" t="str">
        <f>IF(Setup!B43&lt;&gt;"",Payroll_Sep!P36,"")</f>
        <v/>
      </c>
      <c r="N36" s="46">
        <v>0</v>
      </c>
      <c r="O36" s="46">
        <v>0</v>
      </c>
      <c r="P36" s="44" t="str">
        <f>IF(Setup!B43&lt;&gt;"",M36+N36-O36,"")</f>
        <v/>
      </c>
      <c r="Q36" s="46">
        <v>0</v>
      </c>
      <c r="R36" s="47" t="str">
        <f>IF(Setup!B43&lt;&gt;"",L36-O36-Q36,"")</f>
        <v/>
      </c>
    </row>
    <row r="37" spans="1:18" ht="21.75" customHeight="1" x14ac:dyDescent="0.3">
      <c r="A37" s="18">
        <f>Setup!B44</f>
        <v>0</v>
      </c>
      <c r="B37" s="48" t="str">
        <f>IF(Setup!B44&lt;&gt;"",Setup!C44,"")</f>
        <v/>
      </c>
      <c r="C37" s="49" t="str">
        <f>IF(Setup!B44&lt;&gt;"",$B3,"")</f>
        <v/>
      </c>
      <c r="D37" s="50" t="str">
        <f>IF(Setup!B44&lt;&gt;"",Attendance_Oct!AH39,"")</f>
        <v/>
      </c>
      <c r="E37" s="49" t="str">
        <f>IF(Setup!B44&lt;&gt;"",Attendance_Oct!AH40,"")</f>
        <v/>
      </c>
      <c r="F37" s="51" t="str">
        <f>IFERROR(IF(Setup!B44&lt;&gt;"",B37/C37,""),"")</f>
        <v/>
      </c>
      <c r="G37" s="50" t="str">
        <f>IF(Setup!B44&lt;&gt;"",MIN(D37,C37),"")</f>
        <v/>
      </c>
      <c r="H37" s="50" t="str">
        <f>IF(Setup!B44&lt;&gt;"",MAX(D37-C37,0),"")</f>
        <v/>
      </c>
      <c r="I37" s="19" t="str">
        <f>IF(Setup!B44&lt;&gt;"",F37*G37,"")</f>
        <v/>
      </c>
      <c r="J37" s="19" t="str">
        <f>IF(Setup!B44&lt;&gt;"",F37*H37*$B4,"")</f>
        <v/>
      </c>
      <c r="K37" s="19" t="str">
        <f>IF(Setup!B44&lt;&gt;"",IF(E37=0,$B5,0),"")</f>
        <v/>
      </c>
      <c r="L37" s="52" t="str">
        <f>IF(Setup!B44&lt;&gt;"",I37+J37+K37,"")</f>
        <v/>
      </c>
      <c r="M37" s="19" t="str">
        <f>IF(Setup!B44&lt;&gt;"",Payroll_Sep!P37,"")</f>
        <v/>
      </c>
      <c r="N37" s="46">
        <v>0</v>
      </c>
      <c r="O37" s="46">
        <v>0</v>
      </c>
      <c r="P37" s="52" t="str">
        <f>IF(Setup!B44&lt;&gt;"",M37+N37-O37,"")</f>
        <v/>
      </c>
      <c r="Q37" s="46">
        <v>0</v>
      </c>
      <c r="R37" s="47" t="str">
        <f>IF(Setup!B44&lt;&gt;"",L37-O37-Q37,"")</f>
        <v/>
      </c>
    </row>
    <row r="38" spans="1:18" ht="25.5" customHeight="1" x14ac:dyDescent="0.3">
      <c r="A38" s="55" t="s">
        <v>113</v>
      </c>
      <c r="B38" s="55"/>
      <c r="C38" s="17">
        <f>SUM(C8:C37)</f>
        <v>3024</v>
      </c>
      <c r="D38" s="36">
        <f>SUM(D8:D37)</f>
        <v>0</v>
      </c>
      <c r="E38" s="17">
        <f>SUM(E8:E37)</f>
        <v>0</v>
      </c>
      <c r="F38" s="17"/>
      <c r="G38" s="36">
        <f t="shared" ref="G38:R38" si="0">SUM(G8:G37)</f>
        <v>0</v>
      </c>
      <c r="H38" s="36">
        <f t="shared" si="0"/>
        <v>0</v>
      </c>
      <c r="I38" s="17">
        <f t="shared" si="0"/>
        <v>0</v>
      </c>
      <c r="J38" s="17">
        <f t="shared" si="0"/>
        <v>0</v>
      </c>
      <c r="K38" s="17">
        <f t="shared" si="0"/>
        <v>0</v>
      </c>
      <c r="L38" s="17">
        <f t="shared" si="0"/>
        <v>0</v>
      </c>
      <c r="M38" s="17">
        <f t="shared" si="0"/>
        <v>93000</v>
      </c>
      <c r="N38" s="17">
        <f t="shared" si="0"/>
        <v>0</v>
      </c>
      <c r="O38" s="17">
        <f t="shared" si="0"/>
        <v>0</v>
      </c>
      <c r="P38" s="17">
        <f t="shared" si="0"/>
        <v>93000</v>
      </c>
      <c r="Q38" s="17">
        <f t="shared" si="0"/>
        <v>0</v>
      </c>
      <c r="R38" s="17">
        <f t="shared" si="0"/>
        <v>0</v>
      </c>
    </row>
    <row r="40" spans="1:18" ht="19.5" customHeight="1" x14ac:dyDescent="0.3">
      <c r="A40" s="56" t="s">
        <v>114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</sheetData>
  <mergeCells count="3">
    <mergeCell ref="A1:R1"/>
    <mergeCell ref="A38:B38"/>
    <mergeCell ref="A40:R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6600"/>
  </sheetPr>
  <dimension ref="A1:R40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5546875" defaultRowHeight="14.4" x14ac:dyDescent="0.3"/>
  <cols>
    <col min="1" max="1" width="22" customWidth="1"/>
    <col min="2" max="2" width="15" customWidth="1"/>
    <col min="3" max="4" width="11" customWidth="1"/>
    <col min="5" max="5" width="10" customWidth="1"/>
    <col min="6" max="7" width="12" customWidth="1"/>
    <col min="8" max="8" width="10" customWidth="1"/>
    <col min="9" max="9" width="14" customWidth="1"/>
    <col min="10" max="10" width="13" customWidth="1"/>
    <col min="11" max="11" width="16" customWidth="1"/>
    <col min="12" max="12" width="14" customWidth="1"/>
    <col min="13" max="16" width="12" customWidth="1"/>
    <col min="17" max="17" width="15" customWidth="1"/>
    <col min="18" max="18" width="14" customWidth="1"/>
  </cols>
  <sheetData>
    <row r="1" spans="1:18" ht="31.5" customHeight="1" x14ac:dyDescent="0.3">
      <c r="A1" s="54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1" t="s">
        <v>93</v>
      </c>
      <c r="B2" s="10" t="s">
        <v>134</v>
      </c>
    </row>
    <row r="3" spans="1:18" ht="19.5" customHeight="1" x14ac:dyDescent="0.3">
      <c r="A3" s="1" t="s">
        <v>95</v>
      </c>
      <c r="B3" s="10">
        <v>200</v>
      </c>
    </row>
    <row r="4" spans="1:18" ht="19.5" customHeight="1" x14ac:dyDescent="0.3">
      <c r="A4" s="1" t="s">
        <v>14</v>
      </c>
      <c r="B4" s="38">
        <f>Setup!B9</f>
        <v>1.5</v>
      </c>
    </row>
    <row r="5" spans="1:18" ht="19.5" customHeight="1" x14ac:dyDescent="0.3">
      <c r="A5" s="1" t="s">
        <v>16</v>
      </c>
      <c r="B5" s="12">
        <f>Setup!B10</f>
        <v>0</v>
      </c>
    </row>
    <row r="7" spans="1:18" ht="36" customHeight="1" x14ac:dyDescent="0.3">
      <c r="A7" s="39" t="s">
        <v>37</v>
      </c>
      <c r="B7" s="39" t="s">
        <v>96</v>
      </c>
      <c r="C7" s="39" t="s">
        <v>97</v>
      </c>
      <c r="D7" s="39" t="s">
        <v>98</v>
      </c>
      <c r="E7" s="39" t="s">
        <v>99</v>
      </c>
      <c r="F7" s="39" t="s">
        <v>100</v>
      </c>
      <c r="G7" s="39" t="s">
        <v>101</v>
      </c>
      <c r="H7" s="39" t="s">
        <v>102</v>
      </c>
      <c r="I7" s="21" t="s">
        <v>103</v>
      </c>
      <c r="J7" s="21" t="s">
        <v>104</v>
      </c>
      <c r="K7" s="21" t="s">
        <v>105</v>
      </c>
      <c r="L7" s="21" t="s">
        <v>106</v>
      </c>
      <c r="M7" s="21" t="s">
        <v>107</v>
      </c>
      <c r="N7" s="21" t="s">
        <v>108</v>
      </c>
      <c r="O7" s="21" t="s">
        <v>109</v>
      </c>
      <c r="P7" s="21" t="s">
        <v>110</v>
      </c>
      <c r="Q7" s="21" t="s">
        <v>111</v>
      </c>
      <c r="R7" s="21" t="s">
        <v>112</v>
      </c>
    </row>
    <row r="8" spans="1:18" ht="21.75" customHeight="1" x14ac:dyDescent="0.3">
      <c r="A8" s="1" t="str">
        <f>Setup!B15</f>
        <v>Sheraz</v>
      </c>
      <c r="B8" s="40">
        <f>IF(Setup!B15&lt;&gt;"",Setup!C15,"")</f>
        <v>38000</v>
      </c>
      <c r="C8" s="41">
        <f>IF(Setup!B15&lt;&gt;"",$B3,"")</f>
        <v>200</v>
      </c>
      <c r="D8" s="42">
        <f>IF(Setup!B15&lt;&gt;"",Attendance_Nov!E38,"")</f>
        <v>0</v>
      </c>
      <c r="E8" s="41">
        <f>IF(Setup!B15&lt;&gt;"",Attendance_Nov!E39,"")</f>
        <v>0</v>
      </c>
      <c r="F8" s="43">
        <f>IFERROR(IF(Setup!B15&lt;&gt;"",B8/C8,""),"")</f>
        <v>190</v>
      </c>
      <c r="G8" s="42">
        <f>IF(Setup!B15&lt;&gt;"",MIN(D8,C8),"")</f>
        <v>0</v>
      </c>
      <c r="H8" s="42">
        <f>IF(Setup!B15&lt;&gt;"",MAX(D8-C8,0),"")</f>
        <v>0</v>
      </c>
      <c r="I8" s="16">
        <f>IF(Setup!B15&lt;&gt;"",F8*G8,"")</f>
        <v>0</v>
      </c>
      <c r="J8" s="16">
        <f>IF(Setup!B15&lt;&gt;"",F8*H8*$B4,"")</f>
        <v>0</v>
      </c>
      <c r="K8" s="16">
        <f>IF(Setup!B15&lt;&gt;"",IF(E8=0,$B5,0),"")</f>
        <v>0</v>
      </c>
      <c r="L8" s="44">
        <f>IF(Setup!B15&lt;&gt;"",I8+J8+K8,"")</f>
        <v>0</v>
      </c>
      <c r="M8" s="16">
        <f>IF(Setup!B15&lt;&gt;"",Payroll_Oct!P8,"")</f>
        <v>40000</v>
      </c>
      <c r="N8" s="46">
        <v>0</v>
      </c>
      <c r="O8" s="46">
        <v>0</v>
      </c>
      <c r="P8" s="44">
        <f>IF(Setup!B15&lt;&gt;"",M8+N8-O8,"")</f>
        <v>40000</v>
      </c>
      <c r="Q8" s="46">
        <v>0</v>
      </c>
      <c r="R8" s="47">
        <f>IF(Setup!B15&lt;&gt;"",L8-O8-Q8,"")</f>
        <v>0</v>
      </c>
    </row>
    <row r="9" spans="1:18" ht="21.75" customHeight="1" x14ac:dyDescent="0.3">
      <c r="A9" s="18" t="str">
        <f>Setup!B16</f>
        <v>Zain</v>
      </c>
      <c r="B9" s="48">
        <f>IF(Setup!B16&lt;&gt;"",Setup!C16,"")</f>
        <v>53000</v>
      </c>
      <c r="C9" s="49">
        <f>IF(Setup!B16&lt;&gt;"",$B3,"")</f>
        <v>200</v>
      </c>
      <c r="D9" s="50">
        <f>IF(Setup!B16&lt;&gt;"",Attendance_Nov!F38,"")</f>
        <v>0</v>
      </c>
      <c r="E9" s="49">
        <f>IF(Setup!B16&lt;&gt;"",Attendance_Nov!F39,"")</f>
        <v>0</v>
      </c>
      <c r="F9" s="51">
        <f>IFERROR(IF(Setup!B16&lt;&gt;"",B9/C9,""),"")</f>
        <v>265</v>
      </c>
      <c r="G9" s="50">
        <f>IF(Setup!B16&lt;&gt;"",MIN(D9,C9),"")</f>
        <v>0</v>
      </c>
      <c r="H9" s="50">
        <f>IF(Setup!B16&lt;&gt;"",MAX(D9-C9,0),"")</f>
        <v>0</v>
      </c>
      <c r="I9" s="19">
        <f>IF(Setup!B16&lt;&gt;"",F9*G9,"")</f>
        <v>0</v>
      </c>
      <c r="J9" s="19">
        <f>IF(Setup!B16&lt;&gt;"",F9*H9*$B4,"")</f>
        <v>0</v>
      </c>
      <c r="K9" s="19">
        <f>IF(Setup!B16&lt;&gt;"",IF(E9=0,$B5,0),"")</f>
        <v>0</v>
      </c>
      <c r="L9" s="52">
        <f>IF(Setup!B16&lt;&gt;"",I9+J9+K9,"")</f>
        <v>0</v>
      </c>
      <c r="M9" s="19">
        <f>IF(Setup!B16&lt;&gt;"",Payroll_Oct!P9,"")</f>
        <v>0</v>
      </c>
      <c r="N9" s="46">
        <v>0</v>
      </c>
      <c r="O9" s="46">
        <v>0</v>
      </c>
      <c r="P9" s="52">
        <f>IF(Setup!B16&lt;&gt;"",M9+N9-O9,"")</f>
        <v>0</v>
      </c>
      <c r="Q9" s="46">
        <v>0</v>
      </c>
      <c r="R9" s="47">
        <f>IF(Setup!B16&lt;&gt;"",L9-O9-Q9,"")</f>
        <v>0</v>
      </c>
    </row>
    <row r="10" spans="1:18" ht="21.75" customHeight="1" x14ac:dyDescent="0.3">
      <c r="A10" s="1" t="str">
        <f>Setup!B17</f>
        <v>Yousaf</v>
      </c>
      <c r="B10" s="40">
        <f>IF(Setup!B17&lt;&gt;"",Setup!C17,"")</f>
        <v>28000</v>
      </c>
      <c r="C10" s="41">
        <f>IF(Setup!B17&lt;&gt;"",$B3,"")</f>
        <v>200</v>
      </c>
      <c r="D10" s="42">
        <f>IF(Setup!B17&lt;&gt;"",Attendance_Nov!G38,"")</f>
        <v>0</v>
      </c>
      <c r="E10" s="41">
        <f>IF(Setup!B17&lt;&gt;"",Attendance_Nov!G39,"")</f>
        <v>0</v>
      </c>
      <c r="F10" s="43">
        <f>IFERROR(IF(Setup!B17&lt;&gt;"",B10/C10,""),"")</f>
        <v>140</v>
      </c>
      <c r="G10" s="42">
        <f>IF(Setup!B17&lt;&gt;"",MIN(D10,C10),"")</f>
        <v>0</v>
      </c>
      <c r="H10" s="42">
        <f>IF(Setup!B17&lt;&gt;"",MAX(D10-C10,0),"")</f>
        <v>0</v>
      </c>
      <c r="I10" s="16">
        <f>IF(Setup!B17&lt;&gt;"",F10*G10,"")</f>
        <v>0</v>
      </c>
      <c r="J10" s="16">
        <f>IF(Setup!B17&lt;&gt;"",F10*H10*$B4,"")</f>
        <v>0</v>
      </c>
      <c r="K10" s="16">
        <f>IF(Setup!B17&lt;&gt;"",IF(E10=0,$B5,0),"")</f>
        <v>0</v>
      </c>
      <c r="L10" s="44">
        <f>IF(Setup!B17&lt;&gt;"",I10+J10+K10,"")</f>
        <v>0</v>
      </c>
      <c r="M10" s="16">
        <f>IF(Setup!B17&lt;&gt;"",Payroll_Oct!P10,"")</f>
        <v>0</v>
      </c>
      <c r="N10" s="46">
        <v>0</v>
      </c>
      <c r="O10" s="46">
        <v>0</v>
      </c>
      <c r="P10" s="44">
        <f>IF(Setup!B17&lt;&gt;"",M10+N10-O10,"")</f>
        <v>0</v>
      </c>
      <c r="Q10" s="46">
        <v>0</v>
      </c>
      <c r="R10" s="47">
        <f>IF(Setup!B17&lt;&gt;"",L10-O10-Q10,"")</f>
        <v>0</v>
      </c>
    </row>
    <row r="11" spans="1:18" ht="21.75" customHeight="1" x14ac:dyDescent="0.3">
      <c r="A11" s="18" t="str">
        <f>Setup!B18</f>
        <v>Hamza</v>
      </c>
      <c r="B11" s="48">
        <f>IF(Setup!B18&lt;&gt;"",Setup!C18,"")</f>
        <v>25000</v>
      </c>
      <c r="C11" s="49">
        <f>IF(Setup!B18&lt;&gt;"",$B3,"")</f>
        <v>200</v>
      </c>
      <c r="D11" s="50">
        <f>IF(Setup!B18&lt;&gt;"",Attendance_Nov!H38,"")</f>
        <v>0</v>
      </c>
      <c r="E11" s="49">
        <f>IF(Setup!B18&lt;&gt;"",Attendance_Nov!H39,"")</f>
        <v>0</v>
      </c>
      <c r="F11" s="51">
        <f>IFERROR(IF(Setup!B18&lt;&gt;"",B11/C11,""),"")</f>
        <v>125</v>
      </c>
      <c r="G11" s="50">
        <f>IF(Setup!B18&lt;&gt;"",MIN(D11,C11),"")</f>
        <v>0</v>
      </c>
      <c r="H11" s="50">
        <f>IF(Setup!B18&lt;&gt;"",MAX(D11-C11,0),"")</f>
        <v>0</v>
      </c>
      <c r="I11" s="19">
        <f>IF(Setup!B18&lt;&gt;"",F11*G11,"")</f>
        <v>0</v>
      </c>
      <c r="J11" s="19">
        <f>IF(Setup!B18&lt;&gt;"",F11*H11*$B4,"")</f>
        <v>0</v>
      </c>
      <c r="K11" s="19">
        <f>IF(Setup!B18&lt;&gt;"",IF(E11=0,$B5,0),"")</f>
        <v>0</v>
      </c>
      <c r="L11" s="52">
        <f>IF(Setup!B18&lt;&gt;"",I11+J11+K11,"")</f>
        <v>0</v>
      </c>
      <c r="M11" s="19">
        <f>IF(Setup!B18&lt;&gt;"",Payroll_Oct!P11,"")</f>
        <v>18000</v>
      </c>
      <c r="N11" s="46">
        <v>0</v>
      </c>
      <c r="O11" s="46">
        <v>0</v>
      </c>
      <c r="P11" s="52">
        <f>IF(Setup!B18&lt;&gt;"",M11+N11-O11,"")</f>
        <v>18000</v>
      </c>
      <c r="Q11" s="46">
        <v>0</v>
      </c>
      <c r="R11" s="47">
        <f>IF(Setup!B18&lt;&gt;"",L11-O11-Q11,"")</f>
        <v>0</v>
      </c>
    </row>
    <row r="12" spans="1:18" ht="21.75" customHeight="1" x14ac:dyDescent="0.3">
      <c r="A12" s="1" t="str">
        <f>Setup!B19</f>
        <v>Amjad</v>
      </c>
      <c r="B12" s="40">
        <f>IF(Setup!B19&lt;&gt;"",Setup!C19,"")</f>
        <v>25000</v>
      </c>
      <c r="C12" s="41">
        <f>IF(Setup!B19&lt;&gt;"",$B3,"")</f>
        <v>200</v>
      </c>
      <c r="D12" s="42">
        <f>IF(Setup!B19&lt;&gt;"",Attendance_Nov!I38,"")</f>
        <v>0</v>
      </c>
      <c r="E12" s="41">
        <f>IF(Setup!B19&lt;&gt;"",Attendance_Nov!I39,"")</f>
        <v>0</v>
      </c>
      <c r="F12" s="43">
        <f>IFERROR(IF(Setup!B19&lt;&gt;"",B12/C12,""),"")</f>
        <v>125</v>
      </c>
      <c r="G12" s="42">
        <f>IF(Setup!B19&lt;&gt;"",MIN(D12,C12),"")</f>
        <v>0</v>
      </c>
      <c r="H12" s="42">
        <f>IF(Setup!B19&lt;&gt;"",MAX(D12-C12,0),"")</f>
        <v>0</v>
      </c>
      <c r="I12" s="16">
        <f>IF(Setup!B19&lt;&gt;"",F12*G12,"")</f>
        <v>0</v>
      </c>
      <c r="J12" s="16">
        <f>IF(Setup!B19&lt;&gt;"",F12*H12*$B4,"")</f>
        <v>0</v>
      </c>
      <c r="K12" s="16">
        <f>IF(Setup!B19&lt;&gt;"",IF(E12=0,$B5,0),"")</f>
        <v>0</v>
      </c>
      <c r="L12" s="44">
        <f>IF(Setup!B19&lt;&gt;"",I12+J12+K12,"")</f>
        <v>0</v>
      </c>
      <c r="M12" s="16">
        <f>IF(Setup!B19&lt;&gt;"",Payroll_Oct!P12,"")</f>
        <v>5000</v>
      </c>
      <c r="N12" s="46">
        <v>0</v>
      </c>
      <c r="O12" s="46">
        <v>0</v>
      </c>
      <c r="P12" s="44">
        <f>IF(Setup!B19&lt;&gt;"",M12+N12-O12,"")</f>
        <v>5000</v>
      </c>
      <c r="Q12" s="46">
        <v>0</v>
      </c>
      <c r="R12" s="47">
        <f>IF(Setup!B19&lt;&gt;"",L12-O12-Q12,"")</f>
        <v>0</v>
      </c>
    </row>
    <row r="13" spans="1:18" ht="21.75" customHeight="1" x14ac:dyDescent="0.3">
      <c r="A13" s="18" t="str">
        <f>Setup!B20</f>
        <v>Tanveer</v>
      </c>
      <c r="B13" s="48">
        <f>IF(Setup!B20&lt;&gt;"",Setup!C20,"")</f>
        <v>25000</v>
      </c>
      <c r="C13" s="49">
        <f>IF(Setup!B20&lt;&gt;"",$B3,"")</f>
        <v>200</v>
      </c>
      <c r="D13" s="50">
        <f>IF(Setup!B20&lt;&gt;"",Attendance_Nov!J38,"")</f>
        <v>0</v>
      </c>
      <c r="E13" s="49">
        <f>IF(Setup!B20&lt;&gt;"",Attendance_Nov!J39,"")</f>
        <v>0</v>
      </c>
      <c r="F13" s="51">
        <f>IFERROR(IF(Setup!B20&lt;&gt;"",B13/C13,""),"")</f>
        <v>125</v>
      </c>
      <c r="G13" s="50">
        <f>IF(Setup!B20&lt;&gt;"",MIN(D13,C13),"")</f>
        <v>0</v>
      </c>
      <c r="H13" s="50">
        <f>IF(Setup!B20&lt;&gt;"",MAX(D13-C13,0),"")</f>
        <v>0</v>
      </c>
      <c r="I13" s="19">
        <f>IF(Setup!B20&lt;&gt;"",F13*G13,"")</f>
        <v>0</v>
      </c>
      <c r="J13" s="19">
        <f>IF(Setup!B20&lt;&gt;"",F13*H13*$B4,"")</f>
        <v>0</v>
      </c>
      <c r="K13" s="19">
        <f>IF(Setup!B20&lt;&gt;"",IF(E13=0,$B5,0),"")</f>
        <v>0</v>
      </c>
      <c r="L13" s="52">
        <f>IF(Setup!B20&lt;&gt;"",I13+J13+K13,"")</f>
        <v>0</v>
      </c>
      <c r="M13" s="19">
        <f>IF(Setup!B20&lt;&gt;"",Payroll_Oct!P13,"")</f>
        <v>10000</v>
      </c>
      <c r="N13" s="46">
        <v>0</v>
      </c>
      <c r="O13" s="46">
        <v>0</v>
      </c>
      <c r="P13" s="52">
        <f>IF(Setup!B20&lt;&gt;"",M13+N13-O13,"")</f>
        <v>10000</v>
      </c>
      <c r="Q13" s="46">
        <v>0</v>
      </c>
      <c r="R13" s="47">
        <f>IF(Setup!B20&lt;&gt;"",L13-O13-Q13,"")</f>
        <v>0</v>
      </c>
    </row>
    <row r="14" spans="1:18" ht="21.75" customHeight="1" x14ac:dyDescent="0.3">
      <c r="A14" s="1" t="str">
        <f>Setup!B21</f>
        <v>Ali Zaman</v>
      </c>
      <c r="B14" s="40">
        <f>IF(Setup!B21&lt;&gt;"",Setup!C21,"")</f>
        <v>75000</v>
      </c>
      <c r="C14" s="41">
        <f>IF(Setup!B21&lt;&gt;"",$B3,"")</f>
        <v>200</v>
      </c>
      <c r="D14" s="42">
        <f>IF(Setup!B21&lt;&gt;"",Attendance_Nov!K38,"")</f>
        <v>0</v>
      </c>
      <c r="E14" s="41">
        <f>IF(Setup!B21&lt;&gt;"",Attendance_Nov!K39,"")</f>
        <v>0</v>
      </c>
      <c r="F14" s="43">
        <f>IFERROR(IF(Setup!B21&lt;&gt;"",B14/C14,""),"")</f>
        <v>375</v>
      </c>
      <c r="G14" s="42">
        <f>IF(Setup!B21&lt;&gt;"",MIN(D14,C14),"")</f>
        <v>0</v>
      </c>
      <c r="H14" s="42">
        <f>IF(Setup!B21&lt;&gt;"",MAX(D14-C14,0),"")</f>
        <v>0</v>
      </c>
      <c r="I14" s="16">
        <f>IF(Setup!B21&lt;&gt;"",F14*G14,"")</f>
        <v>0</v>
      </c>
      <c r="J14" s="16">
        <f>IF(Setup!B21&lt;&gt;"",F14*H14*$B4,"")</f>
        <v>0</v>
      </c>
      <c r="K14" s="16">
        <f>IF(Setup!B21&lt;&gt;"",IF(E14=0,$B5,0),"")</f>
        <v>0</v>
      </c>
      <c r="L14" s="44">
        <f>IF(Setup!B21&lt;&gt;"",I14+J14+K14,"")</f>
        <v>0</v>
      </c>
      <c r="M14" s="16">
        <f>IF(Setup!B21&lt;&gt;"",Payroll_Oct!P14,"")</f>
        <v>20000</v>
      </c>
      <c r="N14" s="46">
        <v>0</v>
      </c>
      <c r="O14" s="46">
        <v>0</v>
      </c>
      <c r="P14" s="44">
        <f>IF(Setup!B21&lt;&gt;"",M14+N14-O14,"")</f>
        <v>20000</v>
      </c>
      <c r="Q14" s="46">
        <v>0</v>
      </c>
      <c r="R14" s="47">
        <f>IF(Setup!B21&lt;&gt;"",L14-O14-Q14,"")</f>
        <v>0</v>
      </c>
    </row>
    <row r="15" spans="1:18" ht="21.75" customHeight="1" x14ac:dyDescent="0.3">
      <c r="A15" s="18" t="str">
        <f>Setup!B22</f>
        <v>Awais Ali</v>
      </c>
      <c r="B15" s="48">
        <f>IF(Setup!B22&lt;&gt;"",Setup!C22,"")</f>
        <v>25000</v>
      </c>
      <c r="C15" s="49">
        <f>IF(Setup!B22&lt;&gt;"",$B3,"")</f>
        <v>200</v>
      </c>
      <c r="D15" s="50">
        <f>IF(Setup!B22&lt;&gt;"",Attendance_Nov!L38,"")</f>
        <v>0</v>
      </c>
      <c r="E15" s="49">
        <f>IF(Setup!B22&lt;&gt;"",Attendance_Nov!L39,"")</f>
        <v>0</v>
      </c>
      <c r="F15" s="51">
        <f>IFERROR(IF(Setup!B22&lt;&gt;"",B15/C15,""),"")</f>
        <v>125</v>
      </c>
      <c r="G15" s="50">
        <f>IF(Setup!B22&lt;&gt;"",MIN(D15,C15),"")</f>
        <v>0</v>
      </c>
      <c r="H15" s="50">
        <f>IF(Setup!B22&lt;&gt;"",MAX(D15-C15,0),"")</f>
        <v>0</v>
      </c>
      <c r="I15" s="19">
        <f>IF(Setup!B22&lt;&gt;"",F15*G15,"")</f>
        <v>0</v>
      </c>
      <c r="J15" s="19">
        <f>IF(Setup!B22&lt;&gt;"",F15*H15*$B4,"")</f>
        <v>0</v>
      </c>
      <c r="K15" s="19">
        <f>IF(Setup!B22&lt;&gt;"",IF(E15=0,$B5,0),"")</f>
        <v>0</v>
      </c>
      <c r="L15" s="52">
        <f>IF(Setup!B22&lt;&gt;"",I15+J15+K15,"")</f>
        <v>0</v>
      </c>
      <c r="M15" s="19">
        <f>IF(Setup!B22&lt;&gt;"",Payroll_Oct!P15,"")</f>
        <v>0</v>
      </c>
      <c r="N15" s="46">
        <v>0</v>
      </c>
      <c r="O15" s="46">
        <v>0</v>
      </c>
      <c r="P15" s="52">
        <f>IF(Setup!B22&lt;&gt;"",M15+N15-O15,"")</f>
        <v>0</v>
      </c>
      <c r="Q15" s="46">
        <v>0</v>
      </c>
      <c r="R15" s="47">
        <f>IF(Setup!B22&lt;&gt;"",L15-O15-Q15,"")</f>
        <v>0</v>
      </c>
    </row>
    <row r="16" spans="1:18" ht="21.75" customHeight="1" x14ac:dyDescent="0.3">
      <c r="A16" s="1" t="str">
        <f>Setup!B23</f>
        <v>Ishtiaq</v>
      </c>
      <c r="B16" s="40">
        <f>IF(Setup!B23&lt;&gt;"",Setup!C23,"")</f>
        <v>25000</v>
      </c>
      <c r="C16" s="41">
        <f>IF(Setup!B23&lt;&gt;"",$B3,"")</f>
        <v>200</v>
      </c>
      <c r="D16" s="42">
        <f>IF(Setup!B23&lt;&gt;"",Attendance_Nov!M38,"")</f>
        <v>0</v>
      </c>
      <c r="E16" s="41">
        <f>IF(Setup!B23&lt;&gt;"",Attendance_Nov!M39,"")</f>
        <v>0</v>
      </c>
      <c r="F16" s="43">
        <f>IFERROR(IF(Setup!B23&lt;&gt;"",B16/C16,""),"")</f>
        <v>125</v>
      </c>
      <c r="G16" s="42">
        <f>IF(Setup!B23&lt;&gt;"",MIN(D16,C16),"")</f>
        <v>0</v>
      </c>
      <c r="H16" s="42">
        <f>IF(Setup!B23&lt;&gt;"",MAX(D16-C16,0),"")</f>
        <v>0</v>
      </c>
      <c r="I16" s="16">
        <f>IF(Setup!B23&lt;&gt;"",F16*G16,"")</f>
        <v>0</v>
      </c>
      <c r="J16" s="16">
        <f>IF(Setup!B23&lt;&gt;"",F16*H16*$B4,"")</f>
        <v>0</v>
      </c>
      <c r="K16" s="16">
        <f>IF(Setup!B23&lt;&gt;"",IF(E16=0,$B5,0),"")</f>
        <v>0</v>
      </c>
      <c r="L16" s="44">
        <f>IF(Setup!B23&lt;&gt;"",I16+J16+K16,"")</f>
        <v>0</v>
      </c>
      <c r="M16" s="16">
        <f>IF(Setup!B23&lt;&gt;"",Payroll_Oct!P16,"")</f>
        <v>0</v>
      </c>
      <c r="N16" s="46">
        <v>0</v>
      </c>
      <c r="O16" s="46">
        <v>0</v>
      </c>
      <c r="P16" s="44">
        <f>IF(Setup!B23&lt;&gt;"",M16+N16-O16,"")</f>
        <v>0</v>
      </c>
      <c r="Q16" s="46">
        <v>0</v>
      </c>
      <c r="R16" s="47">
        <f>IF(Setup!B23&lt;&gt;"",L16-O16-Q16,"")</f>
        <v>0</v>
      </c>
    </row>
    <row r="17" spans="1:18" ht="21.75" customHeight="1" x14ac:dyDescent="0.3">
      <c r="A17" s="18" t="str">
        <f>Setup!B24</f>
        <v>Usama bhai</v>
      </c>
      <c r="B17" s="48">
        <f>IF(Setup!B24&lt;&gt;"",Setup!C24,"")</f>
        <v>50000</v>
      </c>
      <c r="C17" s="49">
        <f>IF(Setup!B24&lt;&gt;"",$B3,"")</f>
        <v>200</v>
      </c>
      <c r="D17" s="50">
        <f>IF(Setup!B24&lt;&gt;"",Attendance_Nov!N38,"")</f>
        <v>0</v>
      </c>
      <c r="E17" s="49">
        <f>IF(Setup!B24&lt;&gt;"",Attendance_Nov!N39,"")</f>
        <v>0</v>
      </c>
      <c r="F17" s="51">
        <f>IFERROR(IF(Setup!B24&lt;&gt;"",B17/C17,""),"")</f>
        <v>250</v>
      </c>
      <c r="G17" s="50">
        <f>IF(Setup!B24&lt;&gt;"",MIN(D17,C17),"")</f>
        <v>0</v>
      </c>
      <c r="H17" s="50">
        <f>IF(Setup!B24&lt;&gt;"",MAX(D17-C17,0),"")</f>
        <v>0</v>
      </c>
      <c r="I17" s="19">
        <f>IF(Setup!B24&lt;&gt;"",F17*G17,"")</f>
        <v>0</v>
      </c>
      <c r="J17" s="19">
        <f>IF(Setup!B24&lt;&gt;"",F17*H17*$B4,"")</f>
        <v>0</v>
      </c>
      <c r="K17" s="19">
        <f>IF(Setup!B24&lt;&gt;"",IF(E17=0,$B5,0),"")</f>
        <v>0</v>
      </c>
      <c r="L17" s="52">
        <f>IF(Setup!B24&lt;&gt;"",I17+J17+K17,"")</f>
        <v>0</v>
      </c>
      <c r="M17" s="19">
        <f>IF(Setup!B24&lt;&gt;"",Payroll_Oct!P17,"")</f>
        <v>0</v>
      </c>
      <c r="N17" s="46">
        <v>0</v>
      </c>
      <c r="O17" s="46">
        <v>0</v>
      </c>
      <c r="P17" s="52">
        <f>IF(Setup!B24&lt;&gt;"",M17+N17-O17,"")</f>
        <v>0</v>
      </c>
      <c r="Q17" s="46">
        <v>0</v>
      </c>
      <c r="R17" s="47">
        <f>IF(Setup!B24&lt;&gt;"",L17-O17-Q17,"")</f>
        <v>0</v>
      </c>
    </row>
    <row r="18" spans="1:18" ht="21.75" customHeight="1" x14ac:dyDescent="0.3">
      <c r="A18" s="1" t="str">
        <f>Setup!B25</f>
        <v>Ahtisham</v>
      </c>
      <c r="B18" s="40">
        <f>IF(Setup!B25&lt;&gt;"",Setup!C25,"")</f>
        <v>10000</v>
      </c>
      <c r="C18" s="41">
        <f>IF(Setup!B25&lt;&gt;"",$B3,"")</f>
        <v>200</v>
      </c>
      <c r="D18" s="42">
        <f>IF(Setup!B25&lt;&gt;"",Attendance_Nov!O38,"")</f>
        <v>0</v>
      </c>
      <c r="E18" s="41">
        <f>IF(Setup!B25&lt;&gt;"",Attendance_Nov!O39,"")</f>
        <v>0</v>
      </c>
      <c r="F18" s="43">
        <f>IFERROR(IF(Setup!B25&lt;&gt;"",B18/C18,""),"")</f>
        <v>50</v>
      </c>
      <c r="G18" s="42">
        <f>IF(Setup!B25&lt;&gt;"",MIN(D18,C18),"")</f>
        <v>0</v>
      </c>
      <c r="H18" s="42">
        <f>IF(Setup!B25&lt;&gt;"",MAX(D18-C18,0),"")</f>
        <v>0</v>
      </c>
      <c r="I18" s="16">
        <f>IF(Setup!B25&lt;&gt;"",F18*G18,"")</f>
        <v>0</v>
      </c>
      <c r="J18" s="16">
        <f>IF(Setup!B25&lt;&gt;"",F18*H18*$B4,"")</f>
        <v>0</v>
      </c>
      <c r="K18" s="16">
        <f>IF(Setup!B25&lt;&gt;"",IF(E18=0,$B5,0),"")</f>
        <v>0</v>
      </c>
      <c r="L18" s="44">
        <f>IF(Setup!B25&lt;&gt;"",I18+J18+K18,"")</f>
        <v>0</v>
      </c>
      <c r="M18" s="16">
        <f>IF(Setup!B25&lt;&gt;"",Payroll_Oct!P18,"")</f>
        <v>0</v>
      </c>
      <c r="N18" s="46">
        <v>0</v>
      </c>
      <c r="O18" s="46">
        <v>0</v>
      </c>
      <c r="P18" s="44">
        <f>IF(Setup!B25&lt;&gt;"",M18+N18-O18,"")</f>
        <v>0</v>
      </c>
      <c r="Q18" s="46">
        <v>0</v>
      </c>
      <c r="R18" s="47">
        <f>IF(Setup!B25&lt;&gt;"",L18-O18-Q18,"")</f>
        <v>0</v>
      </c>
    </row>
    <row r="19" spans="1:18" ht="21.75" customHeight="1" x14ac:dyDescent="0.3">
      <c r="A19" s="18" t="str">
        <f>Setup!B26</f>
        <v>Factory rent</v>
      </c>
      <c r="B19" s="48">
        <f>IF(Setup!B26&lt;&gt;"",Setup!C26,"")</f>
        <v>77000</v>
      </c>
      <c r="C19" s="49">
        <f>IF(Setup!B26&lt;&gt;"",$B3,"")</f>
        <v>200</v>
      </c>
      <c r="D19" s="50">
        <f>IF(Setup!B26&lt;&gt;"",Attendance_Nov!P38,"")</f>
        <v>0</v>
      </c>
      <c r="E19" s="49">
        <f>IF(Setup!B26&lt;&gt;"",Attendance_Nov!P39,"")</f>
        <v>0</v>
      </c>
      <c r="F19" s="51">
        <f>IFERROR(IF(Setup!B26&lt;&gt;"",B19/C19,""),"")</f>
        <v>385</v>
      </c>
      <c r="G19" s="50">
        <f>IF(Setup!B26&lt;&gt;"",MIN(D19,C19),"")</f>
        <v>0</v>
      </c>
      <c r="H19" s="50">
        <f>IF(Setup!B26&lt;&gt;"",MAX(D19-C19,0),"")</f>
        <v>0</v>
      </c>
      <c r="I19" s="19">
        <f>IF(Setup!B26&lt;&gt;"",F19*G19,"")</f>
        <v>0</v>
      </c>
      <c r="J19" s="19">
        <f>IF(Setup!B26&lt;&gt;"",F19*H19*$B4,"")</f>
        <v>0</v>
      </c>
      <c r="K19" s="19">
        <f>IF(Setup!B26&lt;&gt;"",IF(E19=0,$B5,0),"")</f>
        <v>0</v>
      </c>
      <c r="L19" s="52">
        <f>IF(Setup!B26&lt;&gt;"",I19+J19+K19,"")</f>
        <v>0</v>
      </c>
      <c r="M19" s="19">
        <f>IF(Setup!B26&lt;&gt;"",Payroll_Oct!P19,"")</f>
        <v>0</v>
      </c>
      <c r="N19" s="46">
        <v>0</v>
      </c>
      <c r="O19" s="46">
        <v>0</v>
      </c>
      <c r="P19" s="52">
        <f>IF(Setup!B26&lt;&gt;"",M19+N19-O19,"")</f>
        <v>0</v>
      </c>
      <c r="Q19" s="46">
        <v>0</v>
      </c>
      <c r="R19" s="47">
        <f>IF(Setup!B26&lt;&gt;"",L19-O19-Q19,"")</f>
        <v>0</v>
      </c>
    </row>
    <row r="20" spans="1:18" ht="21.75" customHeight="1" x14ac:dyDescent="0.3">
      <c r="A20" s="1" t="str">
        <f>Setup!B27</f>
        <v>Internet bill</v>
      </c>
      <c r="B20" s="40">
        <f>IF(Setup!B27&lt;&gt;"",Setup!C27,"")</f>
        <v>2500</v>
      </c>
      <c r="C20" s="41">
        <f>IF(Setup!B27&lt;&gt;"",$B3,"")</f>
        <v>200</v>
      </c>
      <c r="D20" s="42">
        <f>IF(Setup!B27&lt;&gt;"",Attendance_Nov!Q38,"")</f>
        <v>0</v>
      </c>
      <c r="E20" s="41">
        <f>IF(Setup!B27&lt;&gt;"",Attendance_Nov!Q39,"")</f>
        <v>0</v>
      </c>
      <c r="F20" s="43">
        <f>IFERROR(IF(Setup!B27&lt;&gt;"",B20/C20,""),"")</f>
        <v>12.5</v>
      </c>
      <c r="G20" s="42">
        <f>IF(Setup!B27&lt;&gt;"",MIN(D20,C20),"")</f>
        <v>0</v>
      </c>
      <c r="H20" s="42">
        <f>IF(Setup!B27&lt;&gt;"",MAX(D20-C20,0),"")</f>
        <v>0</v>
      </c>
      <c r="I20" s="16">
        <f>IF(Setup!B27&lt;&gt;"",F20*G20,"")</f>
        <v>0</v>
      </c>
      <c r="J20" s="16">
        <f>IF(Setup!B27&lt;&gt;"",F20*H20*$B4,"")</f>
        <v>0</v>
      </c>
      <c r="K20" s="16">
        <f>IF(Setup!B27&lt;&gt;"",IF(E20=0,$B5,0),"")</f>
        <v>0</v>
      </c>
      <c r="L20" s="44">
        <f>IF(Setup!B27&lt;&gt;"",I20+J20+K20,"")</f>
        <v>0</v>
      </c>
      <c r="M20" s="16">
        <f>IF(Setup!B27&lt;&gt;"",Payroll_Oct!P20,"")</f>
        <v>0</v>
      </c>
      <c r="N20" s="46">
        <v>0</v>
      </c>
      <c r="O20" s="46">
        <v>0</v>
      </c>
      <c r="P20" s="44">
        <f>IF(Setup!B27&lt;&gt;"",M20+N20-O20,"")</f>
        <v>0</v>
      </c>
      <c r="Q20" s="46">
        <v>0</v>
      </c>
      <c r="R20" s="47">
        <f>IF(Setup!B27&lt;&gt;"",L20-O20-Q20,"")</f>
        <v>0</v>
      </c>
    </row>
    <row r="21" spans="1:18" ht="21.75" customHeight="1" x14ac:dyDescent="0.3">
      <c r="A21" s="18" t="str">
        <f>Setup!B28</f>
        <v>Saqab</v>
      </c>
      <c r="B21" s="48">
        <f>IF(Setup!B28&lt;&gt;"",Setup!C28,"")</f>
        <v>25000</v>
      </c>
      <c r="C21" s="49">
        <f>IF(Setup!B28&lt;&gt;"",$B3,"")</f>
        <v>200</v>
      </c>
      <c r="D21" s="50">
        <f>IF(Setup!B28&lt;&gt;"",Attendance_Nov!R38,"")</f>
        <v>0</v>
      </c>
      <c r="E21" s="49">
        <f>IF(Setup!B28&lt;&gt;"",Attendance_Nov!R39,"")</f>
        <v>0</v>
      </c>
      <c r="F21" s="51">
        <f>IFERROR(IF(Setup!B28&lt;&gt;"",B21/C21,""),"")</f>
        <v>125</v>
      </c>
      <c r="G21" s="50">
        <f>IF(Setup!B28&lt;&gt;"",MIN(D21,C21),"")</f>
        <v>0</v>
      </c>
      <c r="H21" s="50">
        <f>IF(Setup!B28&lt;&gt;"",MAX(D21-C21,0),"")</f>
        <v>0</v>
      </c>
      <c r="I21" s="19">
        <f>IF(Setup!B28&lt;&gt;"",F21*G21,"")</f>
        <v>0</v>
      </c>
      <c r="J21" s="19">
        <f>IF(Setup!B28&lt;&gt;"",F21*H21*$B4,"")</f>
        <v>0</v>
      </c>
      <c r="K21" s="19">
        <f>IF(Setup!B28&lt;&gt;"",IF(E21=0,$B5,0),"")</f>
        <v>0</v>
      </c>
      <c r="L21" s="52">
        <f>IF(Setup!B28&lt;&gt;"",I21+J21+K21,"")</f>
        <v>0</v>
      </c>
      <c r="M21" s="19">
        <f>IF(Setup!B28&lt;&gt;"",Payroll_Oct!P21,"")</f>
        <v>0</v>
      </c>
      <c r="N21" s="46">
        <v>0</v>
      </c>
      <c r="O21" s="46">
        <v>0</v>
      </c>
      <c r="P21" s="52">
        <f>IF(Setup!B28&lt;&gt;"",M21+N21-O21,"")</f>
        <v>0</v>
      </c>
      <c r="Q21" s="46">
        <v>0</v>
      </c>
      <c r="R21" s="47">
        <f>IF(Setup!B28&lt;&gt;"",L21-O21-Q21,"")</f>
        <v>0</v>
      </c>
    </row>
    <row r="22" spans="1:18" ht="21.75" customHeight="1" x14ac:dyDescent="0.3">
      <c r="A22" s="1">
        <f>Setup!B29</f>
        <v>0</v>
      </c>
      <c r="B22" s="40" t="str">
        <f>IF(Setup!B29&lt;&gt;"",Setup!C29,"")</f>
        <v/>
      </c>
      <c r="C22" s="41" t="str">
        <f>IF(Setup!B29&lt;&gt;"",$B3,"")</f>
        <v/>
      </c>
      <c r="D22" s="42" t="str">
        <f>IF(Setup!B29&lt;&gt;"",Attendance_Nov!S38,"")</f>
        <v/>
      </c>
      <c r="E22" s="41" t="str">
        <f>IF(Setup!B29&lt;&gt;"",Attendance_Nov!S39,"")</f>
        <v/>
      </c>
      <c r="F22" s="43" t="str">
        <f>IFERROR(IF(Setup!B29&lt;&gt;"",B22/C22,""),"")</f>
        <v/>
      </c>
      <c r="G22" s="42" t="str">
        <f>IF(Setup!B29&lt;&gt;"",MIN(D22,C22),"")</f>
        <v/>
      </c>
      <c r="H22" s="42" t="str">
        <f>IF(Setup!B29&lt;&gt;"",MAX(D22-C22,0),"")</f>
        <v/>
      </c>
      <c r="I22" s="16" t="str">
        <f>IF(Setup!B29&lt;&gt;"",F22*G22,"")</f>
        <v/>
      </c>
      <c r="J22" s="16" t="str">
        <f>IF(Setup!B29&lt;&gt;"",F22*H22*$B4,"")</f>
        <v/>
      </c>
      <c r="K22" s="16" t="str">
        <f>IF(Setup!B29&lt;&gt;"",IF(E22=0,$B5,0),"")</f>
        <v/>
      </c>
      <c r="L22" s="44" t="str">
        <f>IF(Setup!B29&lt;&gt;"",I22+J22+K22,"")</f>
        <v/>
      </c>
      <c r="M22" s="16" t="str">
        <f>IF(Setup!B29&lt;&gt;"",Payroll_Oct!P22,"")</f>
        <v/>
      </c>
      <c r="N22" s="46">
        <v>0</v>
      </c>
      <c r="O22" s="46">
        <v>0</v>
      </c>
      <c r="P22" s="44" t="str">
        <f>IF(Setup!B29&lt;&gt;"",M22+N22-O22,"")</f>
        <v/>
      </c>
      <c r="Q22" s="46">
        <v>0</v>
      </c>
      <c r="R22" s="47" t="str">
        <f>IF(Setup!B29&lt;&gt;"",L22-O22-Q22,"")</f>
        <v/>
      </c>
    </row>
    <row r="23" spans="1:18" ht="21.75" customHeight="1" x14ac:dyDescent="0.3">
      <c r="A23" s="18">
        <f>Setup!B30</f>
        <v>0</v>
      </c>
      <c r="B23" s="48" t="str">
        <f>IF(Setup!B30&lt;&gt;"",Setup!C30,"")</f>
        <v/>
      </c>
      <c r="C23" s="49" t="str">
        <f>IF(Setup!B30&lt;&gt;"",$B3,"")</f>
        <v/>
      </c>
      <c r="D23" s="50" t="str">
        <f>IF(Setup!B30&lt;&gt;"",Attendance_Nov!T38,"")</f>
        <v/>
      </c>
      <c r="E23" s="49" t="str">
        <f>IF(Setup!B30&lt;&gt;"",Attendance_Nov!T39,"")</f>
        <v/>
      </c>
      <c r="F23" s="51" t="str">
        <f>IFERROR(IF(Setup!B30&lt;&gt;"",B23/C23,""),"")</f>
        <v/>
      </c>
      <c r="G23" s="50" t="str">
        <f>IF(Setup!B30&lt;&gt;"",MIN(D23,C23),"")</f>
        <v/>
      </c>
      <c r="H23" s="50" t="str">
        <f>IF(Setup!B30&lt;&gt;"",MAX(D23-C23,0),"")</f>
        <v/>
      </c>
      <c r="I23" s="19" t="str">
        <f>IF(Setup!B30&lt;&gt;"",F23*G23,"")</f>
        <v/>
      </c>
      <c r="J23" s="19" t="str">
        <f>IF(Setup!B30&lt;&gt;"",F23*H23*$B4,"")</f>
        <v/>
      </c>
      <c r="K23" s="19" t="str">
        <f>IF(Setup!B30&lt;&gt;"",IF(E23=0,$B5,0),"")</f>
        <v/>
      </c>
      <c r="L23" s="52" t="str">
        <f>IF(Setup!B30&lt;&gt;"",I23+J23+K23,"")</f>
        <v/>
      </c>
      <c r="M23" s="19" t="str">
        <f>IF(Setup!B30&lt;&gt;"",Payroll_Oct!P23,"")</f>
        <v/>
      </c>
      <c r="N23" s="46">
        <v>0</v>
      </c>
      <c r="O23" s="46">
        <v>0</v>
      </c>
      <c r="P23" s="52" t="str">
        <f>IF(Setup!B30&lt;&gt;"",M23+N23-O23,"")</f>
        <v/>
      </c>
      <c r="Q23" s="46">
        <v>0</v>
      </c>
      <c r="R23" s="47" t="str">
        <f>IF(Setup!B30&lt;&gt;"",L23-O23-Q23,"")</f>
        <v/>
      </c>
    </row>
    <row r="24" spans="1:18" ht="21.75" customHeight="1" x14ac:dyDescent="0.3">
      <c r="A24" s="1">
        <f>Setup!B31</f>
        <v>0</v>
      </c>
      <c r="B24" s="40" t="str">
        <f>IF(Setup!B31&lt;&gt;"",Setup!C31,"")</f>
        <v/>
      </c>
      <c r="C24" s="41" t="str">
        <f>IF(Setup!B31&lt;&gt;"",$B3,"")</f>
        <v/>
      </c>
      <c r="D24" s="42" t="str">
        <f>IF(Setup!B31&lt;&gt;"",Attendance_Nov!U38,"")</f>
        <v/>
      </c>
      <c r="E24" s="41" t="str">
        <f>IF(Setup!B31&lt;&gt;"",Attendance_Nov!U39,"")</f>
        <v/>
      </c>
      <c r="F24" s="43" t="str">
        <f>IFERROR(IF(Setup!B31&lt;&gt;"",B24/C24,""),"")</f>
        <v/>
      </c>
      <c r="G24" s="42" t="str">
        <f>IF(Setup!B31&lt;&gt;"",MIN(D24,C24),"")</f>
        <v/>
      </c>
      <c r="H24" s="42" t="str">
        <f>IF(Setup!B31&lt;&gt;"",MAX(D24-C24,0),"")</f>
        <v/>
      </c>
      <c r="I24" s="16" t="str">
        <f>IF(Setup!B31&lt;&gt;"",F24*G24,"")</f>
        <v/>
      </c>
      <c r="J24" s="16" t="str">
        <f>IF(Setup!B31&lt;&gt;"",F24*H24*$B4,"")</f>
        <v/>
      </c>
      <c r="K24" s="16" t="str">
        <f>IF(Setup!B31&lt;&gt;"",IF(E24=0,$B5,0),"")</f>
        <v/>
      </c>
      <c r="L24" s="44" t="str">
        <f>IF(Setup!B31&lt;&gt;"",I24+J24+K24,"")</f>
        <v/>
      </c>
      <c r="M24" s="16" t="str">
        <f>IF(Setup!B31&lt;&gt;"",Payroll_Oct!P24,"")</f>
        <v/>
      </c>
      <c r="N24" s="46">
        <v>0</v>
      </c>
      <c r="O24" s="46">
        <v>0</v>
      </c>
      <c r="P24" s="44" t="str">
        <f>IF(Setup!B31&lt;&gt;"",M24+N24-O24,"")</f>
        <v/>
      </c>
      <c r="Q24" s="46">
        <v>0</v>
      </c>
      <c r="R24" s="47" t="str">
        <f>IF(Setup!B31&lt;&gt;"",L24-O24-Q24,"")</f>
        <v/>
      </c>
    </row>
    <row r="25" spans="1:18" ht="21.75" customHeight="1" x14ac:dyDescent="0.3">
      <c r="A25" s="18">
        <f>Setup!B32</f>
        <v>0</v>
      </c>
      <c r="B25" s="48" t="str">
        <f>IF(Setup!B32&lt;&gt;"",Setup!C32,"")</f>
        <v/>
      </c>
      <c r="C25" s="49" t="str">
        <f>IF(Setup!B32&lt;&gt;"",$B3,"")</f>
        <v/>
      </c>
      <c r="D25" s="50" t="str">
        <f>IF(Setup!B32&lt;&gt;"",Attendance_Nov!V38,"")</f>
        <v/>
      </c>
      <c r="E25" s="49" t="str">
        <f>IF(Setup!B32&lt;&gt;"",Attendance_Nov!V39,"")</f>
        <v/>
      </c>
      <c r="F25" s="51" t="str">
        <f>IFERROR(IF(Setup!B32&lt;&gt;"",B25/C25,""),"")</f>
        <v/>
      </c>
      <c r="G25" s="50" t="str">
        <f>IF(Setup!B32&lt;&gt;"",MIN(D25,C25),"")</f>
        <v/>
      </c>
      <c r="H25" s="50" t="str">
        <f>IF(Setup!B32&lt;&gt;"",MAX(D25-C25,0),"")</f>
        <v/>
      </c>
      <c r="I25" s="19" t="str">
        <f>IF(Setup!B32&lt;&gt;"",F25*G25,"")</f>
        <v/>
      </c>
      <c r="J25" s="19" t="str">
        <f>IF(Setup!B32&lt;&gt;"",F25*H25*$B4,"")</f>
        <v/>
      </c>
      <c r="K25" s="19" t="str">
        <f>IF(Setup!B32&lt;&gt;"",IF(E25=0,$B5,0),"")</f>
        <v/>
      </c>
      <c r="L25" s="52" t="str">
        <f>IF(Setup!B32&lt;&gt;"",I25+J25+K25,"")</f>
        <v/>
      </c>
      <c r="M25" s="19" t="str">
        <f>IF(Setup!B32&lt;&gt;"",Payroll_Oct!P25,"")</f>
        <v/>
      </c>
      <c r="N25" s="46">
        <v>0</v>
      </c>
      <c r="O25" s="46">
        <v>0</v>
      </c>
      <c r="P25" s="52" t="str">
        <f>IF(Setup!B32&lt;&gt;"",M25+N25-O25,"")</f>
        <v/>
      </c>
      <c r="Q25" s="46">
        <v>0</v>
      </c>
      <c r="R25" s="47" t="str">
        <f>IF(Setup!B32&lt;&gt;"",L25-O25-Q25,"")</f>
        <v/>
      </c>
    </row>
    <row r="26" spans="1:18" ht="21.75" customHeight="1" x14ac:dyDescent="0.3">
      <c r="A26" s="1">
        <f>Setup!B33</f>
        <v>0</v>
      </c>
      <c r="B26" s="40" t="str">
        <f>IF(Setup!B33&lt;&gt;"",Setup!C33,"")</f>
        <v/>
      </c>
      <c r="C26" s="41" t="str">
        <f>IF(Setup!B33&lt;&gt;"",$B3,"")</f>
        <v/>
      </c>
      <c r="D26" s="42" t="str">
        <f>IF(Setup!B33&lt;&gt;"",Attendance_Nov!W38,"")</f>
        <v/>
      </c>
      <c r="E26" s="41" t="str">
        <f>IF(Setup!B33&lt;&gt;"",Attendance_Nov!W39,"")</f>
        <v/>
      </c>
      <c r="F26" s="43" t="str">
        <f>IFERROR(IF(Setup!B33&lt;&gt;"",B26/C26,""),"")</f>
        <v/>
      </c>
      <c r="G26" s="42" t="str">
        <f>IF(Setup!B33&lt;&gt;"",MIN(D26,C26),"")</f>
        <v/>
      </c>
      <c r="H26" s="42" t="str">
        <f>IF(Setup!B33&lt;&gt;"",MAX(D26-C26,0),"")</f>
        <v/>
      </c>
      <c r="I26" s="16" t="str">
        <f>IF(Setup!B33&lt;&gt;"",F26*G26,"")</f>
        <v/>
      </c>
      <c r="J26" s="16" t="str">
        <f>IF(Setup!B33&lt;&gt;"",F26*H26*$B4,"")</f>
        <v/>
      </c>
      <c r="K26" s="16" t="str">
        <f>IF(Setup!B33&lt;&gt;"",IF(E26=0,$B5,0),"")</f>
        <v/>
      </c>
      <c r="L26" s="44" t="str">
        <f>IF(Setup!B33&lt;&gt;"",I26+J26+K26,"")</f>
        <v/>
      </c>
      <c r="M26" s="16" t="str">
        <f>IF(Setup!B33&lt;&gt;"",Payroll_Oct!P26,"")</f>
        <v/>
      </c>
      <c r="N26" s="46">
        <v>0</v>
      </c>
      <c r="O26" s="46">
        <v>0</v>
      </c>
      <c r="P26" s="44" t="str">
        <f>IF(Setup!B33&lt;&gt;"",M26+N26-O26,"")</f>
        <v/>
      </c>
      <c r="Q26" s="46">
        <v>0</v>
      </c>
      <c r="R26" s="47" t="str">
        <f>IF(Setup!B33&lt;&gt;"",L26-O26-Q26,"")</f>
        <v/>
      </c>
    </row>
    <row r="27" spans="1:18" ht="21.75" customHeight="1" x14ac:dyDescent="0.3">
      <c r="A27" s="18">
        <f>Setup!B34</f>
        <v>0</v>
      </c>
      <c r="B27" s="48" t="str">
        <f>IF(Setup!B34&lt;&gt;"",Setup!C34,"")</f>
        <v/>
      </c>
      <c r="C27" s="49" t="str">
        <f>IF(Setup!B34&lt;&gt;"",$B3,"")</f>
        <v/>
      </c>
      <c r="D27" s="50" t="str">
        <f>IF(Setup!B34&lt;&gt;"",Attendance_Nov!X38,"")</f>
        <v/>
      </c>
      <c r="E27" s="49" t="str">
        <f>IF(Setup!B34&lt;&gt;"",Attendance_Nov!X39,"")</f>
        <v/>
      </c>
      <c r="F27" s="51" t="str">
        <f>IFERROR(IF(Setup!B34&lt;&gt;"",B27/C27,""),"")</f>
        <v/>
      </c>
      <c r="G27" s="50" t="str">
        <f>IF(Setup!B34&lt;&gt;"",MIN(D27,C27),"")</f>
        <v/>
      </c>
      <c r="H27" s="50" t="str">
        <f>IF(Setup!B34&lt;&gt;"",MAX(D27-C27,0),"")</f>
        <v/>
      </c>
      <c r="I27" s="19" t="str">
        <f>IF(Setup!B34&lt;&gt;"",F27*G27,"")</f>
        <v/>
      </c>
      <c r="J27" s="19" t="str">
        <f>IF(Setup!B34&lt;&gt;"",F27*H27*$B4,"")</f>
        <v/>
      </c>
      <c r="K27" s="19" t="str">
        <f>IF(Setup!B34&lt;&gt;"",IF(E27=0,$B5,0),"")</f>
        <v/>
      </c>
      <c r="L27" s="52" t="str">
        <f>IF(Setup!B34&lt;&gt;"",I27+J27+K27,"")</f>
        <v/>
      </c>
      <c r="M27" s="19" t="str">
        <f>IF(Setup!B34&lt;&gt;"",Payroll_Oct!P27,"")</f>
        <v/>
      </c>
      <c r="N27" s="46">
        <v>0</v>
      </c>
      <c r="O27" s="46">
        <v>0</v>
      </c>
      <c r="P27" s="52" t="str">
        <f>IF(Setup!B34&lt;&gt;"",M27+N27-O27,"")</f>
        <v/>
      </c>
      <c r="Q27" s="46">
        <v>0</v>
      </c>
      <c r="R27" s="47" t="str">
        <f>IF(Setup!B34&lt;&gt;"",L27-O27-Q27,"")</f>
        <v/>
      </c>
    </row>
    <row r="28" spans="1:18" ht="21.75" customHeight="1" x14ac:dyDescent="0.3">
      <c r="A28" s="1">
        <f>Setup!B35</f>
        <v>0</v>
      </c>
      <c r="B28" s="40" t="str">
        <f>IF(Setup!B35&lt;&gt;"",Setup!C35,"")</f>
        <v/>
      </c>
      <c r="C28" s="41" t="str">
        <f>IF(Setup!B35&lt;&gt;"",$B3,"")</f>
        <v/>
      </c>
      <c r="D28" s="42" t="str">
        <f>IF(Setup!B35&lt;&gt;"",Attendance_Nov!Y38,"")</f>
        <v/>
      </c>
      <c r="E28" s="41" t="str">
        <f>IF(Setup!B35&lt;&gt;"",Attendance_Nov!Y39,"")</f>
        <v/>
      </c>
      <c r="F28" s="43" t="str">
        <f>IFERROR(IF(Setup!B35&lt;&gt;"",B28/C28,""),"")</f>
        <v/>
      </c>
      <c r="G28" s="42" t="str">
        <f>IF(Setup!B35&lt;&gt;"",MIN(D28,C28),"")</f>
        <v/>
      </c>
      <c r="H28" s="42" t="str">
        <f>IF(Setup!B35&lt;&gt;"",MAX(D28-C28,0),"")</f>
        <v/>
      </c>
      <c r="I28" s="16" t="str">
        <f>IF(Setup!B35&lt;&gt;"",F28*G28,"")</f>
        <v/>
      </c>
      <c r="J28" s="16" t="str">
        <f>IF(Setup!B35&lt;&gt;"",F28*H28*$B4,"")</f>
        <v/>
      </c>
      <c r="K28" s="16" t="str">
        <f>IF(Setup!B35&lt;&gt;"",IF(E28=0,$B5,0),"")</f>
        <v/>
      </c>
      <c r="L28" s="44" t="str">
        <f>IF(Setup!B35&lt;&gt;"",I28+J28+K28,"")</f>
        <v/>
      </c>
      <c r="M28" s="16" t="str">
        <f>IF(Setup!B35&lt;&gt;"",Payroll_Oct!P28,"")</f>
        <v/>
      </c>
      <c r="N28" s="46">
        <v>0</v>
      </c>
      <c r="O28" s="46">
        <v>0</v>
      </c>
      <c r="P28" s="44" t="str">
        <f>IF(Setup!B35&lt;&gt;"",M28+N28-O28,"")</f>
        <v/>
      </c>
      <c r="Q28" s="46">
        <v>0</v>
      </c>
      <c r="R28" s="47" t="str">
        <f>IF(Setup!B35&lt;&gt;"",L28-O28-Q28,"")</f>
        <v/>
      </c>
    </row>
    <row r="29" spans="1:18" ht="21.75" customHeight="1" x14ac:dyDescent="0.3">
      <c r="A29" s="18">
        <f>Setup!B36</f>
        <v>0</v>
      </c>
      <c r="B29" s="48" t="str">
        <f>IF(Setup!B36&lt;&gt;"",Setup!C36,"")</f>
        <v/>
      </c>
      <c r="C29" s="49" t="str">
        <f>IF(Setup!B36&lt;&gt;"",$B3,"")</f>
        <v/>
      </c>
      <c r="D29" s="50" t="str">
        <f>IF(Setup!B36&lt;&gt;"",Attendance_Nov!Z38,"")</f>
        <v/>
      </c>
      <c r="E29" s="49" t="str">
        <f>IF(Setup!B36&lt;&gt;"",Attendance_Nov!Z39,"")</f>
        <v/>
      </c>
      <c r="F29" s="51" t="str">
        <f>IFERROR(IF(Setup!B36&lt;&gt;"",B29/C29,""),"")</f>
        <v/>
      </c>
      <c r="G29" s="50" t="str">
        <f>IF(Setup!B36&lt;&gt;"",MIN(D29,C29),"")</f>
        <v/>
      </c>
      <c r="H29" s="50" t="str">
        <f>IF(Setup!B36&lt;&gt;"",MAX(D29-C29,0),"")</f>
        <v/>
      </c>
      <c r="I29" s="19" t="str">
        <f>IF(Setup!B36&lt;&gt;"",F29*G29,"")</f>
        <v/>
      </c>
      <c r="J29" s="19" t="str">
        <f>IF(Setup!B36&lt;&gt;"",F29*H29*$B4,"")</f>
        <v/>
      </c>
      <c r="K29" s="19" t="str">
        <f>IF(Setup!B36&lt;&gt;"",IF(E29=0,$B5,0),"")</f>
        <v/>
      </c>
      <c r="L29" s="52" t="str">
        <f>IF(Setup!B36&lt;&gt;"",I29+J29+K29,"")</f>
        <v/>
      </c>
      <c r="M29" s="19" t="str">
        <f>IF(Setup!B36&lt;&gt;"",Payroll_Oct!P29,"")</f>
        <v/>
      </c>
      <c r="N29" s="46">
        <v>0</v>
      </c>
      <c r="O29" s="46">
        <v>0</v>
      </c>
      <c r="P29" s="52" t="str">
        <f>IF(Setup!B36&lt;&gt;"",M29+N29-O29,"")</f>
        <v/>
      </c>
      <c r="Q29" s="46">
        <v>0</v>
      </c>
      <c r="R29" s="47" t="str">
        <f>IF(Setup!B36&lt;&gt;"",L29-O29-Q29,"")</f>
        <v/>
      </c>
    </row>
    <row r="30" spans="1:18" ht="21.75" customHeight="1" x14ac:dyDescent="0.3">
      <c r="A30" s="1">
        <f>Setup!B37</f>
        <v>0</v>
      </c>
      <c r="B30" s="40" t="str">
        <f>IF(Setup!B37&lt;&gt;"",Setup!C37,"")</f>
        <v/>
      </c>
      <c r="C30" s="41" t="str">
        <f>IF(Setup!B37&lt;&gt;"",$B3,"")</f>
        <v/>
      </c>
      <c r="D30" s="42" t="str">
        <f>IF(Setup!B37&lt;&gt;"",Attendance_Nov!AA38,"")</f>
        <v/>
      </c>
      <c r="E30" s="41" t="str">
        <f>IF(Setup!B37&lt;&gt;"",Attendance_Nov!AA39,"")</f>
        <v/>
      </c>
      <c r="F30" s="43" t="str">
        <f>IFERROR(IF(Setup!B37&lt;&gt;"",B30/C30,""),"")</f>
        <v/>
      </c>
      <c r="G30" s="42" t="str">
        <f>IF(Setup!B37&lt;&gt;"",MIN(D30,C30),"")</f>
        <v/>
      </c>
      <c r="H30" s="42" t="str">
        <f>IF(Setup!B37&lt;&gt;"",MAX(D30-C30,0),"")</f>
        <v/>
      </c>
      <c r="I30" s="16" t="str">
        <f>IF(Setup!B37&lt;&gt;"",F30*G30,"")</f>
        <v/>
      </c>
      <c r="J30" s="16" t="str">
        <f>IF(Setup!B37&lt;&gt;"",F30*H30*$B4,"")</f>
        <v/>
      </c>
      <c r="K30" s="16" t="str">
        <f>IF(Setup!B37&lt;&gt;"",IF(E30=0,$B5,0),"")</f>
        <v/>
      </c>
      <c r="L30" s="44" t="str">
        <f>IF(Setup!B37&lt;&gt;"",I30+J30+K30,"")</f>
        <v/>
      </c>
      <c r="M30" s="16" t="str">
        <f>IF(Setup!B37&lt;&gt;"",Payroll_Oct!P30,"")</f>
        <v/>
      </c>
      <c r="N30" s="46">
        <v>0</v>
      </c>
      <c r="O30" s="46">
        <v>0</v>
      </c>
      <c r="P30" s="44" t="str">
        <f>IF(Setup!B37&lt;&gt;"",M30+N30-O30,"")</f>
        <v/>
      </c>
      <c r="Q30" s="46">
        <v>0</v>
      </c>
      <c r="R30" s="47" t="str">
        <f>IF(Setup!B37&lt;&gt;"",L30-O30-Q30,"")</f>
        <v/>
      </c>
    </row>
    <row r="31" spans="1:18" ht="21.75" customHeight="1" x14ac:dyDescent="0.3">
      <c r="A31" s="18">
        <f>Setup!B38</f>
        <v>0</v>
      </c>
      <c r="B31" s="48" t="str">
        <f>IF(Setup!B38&lt;&gt;"",Setup!C38,"")</f>
        <v/>
      </c>
      <c r="C31" s="49" t="str">
        <f>IF(Setup!B38&lt;&gt;"",$B3,"")</f>
        <v/>
      </c>
      <c r="D31" s="50" t="str">
        <f>IF(Setup!B38&lt;&gt;"",Attendance_Nov!AB38,"")</f>
        <v/>
      </c>
      <c r="E31" s="49" t="str">
        <f>IF(Setup!B38&lt;&gt;"",Attendance_Nov!AB39,"")</f>
        <v/>
      </c>
      <c r="F31" s="51" t="str">
        <f>IFERROR(IF(Setup!B38&lt;&gt;"",B31/C31,""),"")</f>
        <v/>
      </c>
      <c r="G31" s="50" t="str">
        <f>IF(Setup!B38&lt;&gt;"",MIN(D31,C31),"")</f>
        <v/>
      </c>
      <c r="H31" s="50" t="str">
        <f>IF(Setup!B38&lt;&gt;"",MAX(D31-C31,0),"")</f>
        <v/>
      </c>
      <c r="I31" s="19" t="str">
        <f>IF(Setup!B38&lt;&gt;"",F31*G31,"")</f>
        <v/>
      </c>
      <c r="J31" s="19" t="str">
        <f>IF(Setup!B38&lt;&gt;"",F31*H31*$B4,"")</f>
        <v/>
      </c>
      <c r="K31" s="19" t="str">
        <f>IF(Setup!B38&lt;&gt;"",IF(E31=0,$B5,0),"")</f>
        <v/>
      </c>
      <c r="L31" s="52" t="str">
        <f>IF(Setup!B38&lt;&gt;"",I31+J31+K31,"")</f>
        <v/>
      </c>
      <c r="M31" s="19" t="str">
        <f>IF(Setup!B38&lt;&gt;"",Payroll_Oct!P31,"")</f>
        <v/>
      </c>
      <c r="N31" s="46">
        <v>0</v>
      </c>
      <c r="O31" s="46">
        <v>0</v>
      </c>
      <c r="P31" s="52" t="str">
        <f>IF(Setup!B38&lt;&gt;"",M31+N31-O31,"")</f>
        <v/>
      </c>
      <c r="Q31" s="46">
        <v>0</v>
      </c>
      <c r="R31" s="47" t="str">
        <f>IF(Setup!B38&lt;&gt;"",L31-O31-Q31,"")</f>
        <v/>
      </c>
    </row>
    <row r="32" spans="1:18" ht="21.75" customHeight="1" x14ac:dyDescent="0.3">
      <c r="A32" s="1">
        <f>Setup!B39</f>
        <v>0</v>
      </c>
      <c r="B32" s="40" t="str">
        <f>IF(Setup!B39&lt;&gt;"",Setup!C39,"")</f>
        <v/>
      </c>
      <c r="C32" s="41" t="str">
        <f>IF(Setup!B39&lt;&gt;"",$B3,"")</f>
        <v/>
      </c>
      <c r="D32" s="42" t="str">
        <f>IF(Setup!B39&lt;&gt;"",Attendance_Nov!AC38,"")</f>
        <v/>
      </c>
      <c r="E32" s="41" t="str">
        <f>IF(Setup!B39&lt;&gt;"",Attendance_Nov!AC39,"")</f>
        <v/>
      </c>
      <c r="F32" s="43" t="str">
        <f>IFERROR(IF(Setup!B39&lt;&gt;"",B32/C32,""),"")</f>
        <v/>
      </c>
      <c r="G32" s="42" t="str">
        <f>IF(Setup!B39&lt;&gt;"",MIN(D32,C32),"")</f>
        <v/>
      </c>
      <c r="H32" s="42" t="str">
        <f>IF(Setup!B39&lt;&gt;"",MAX(D32-C32,0),"")</f>
        <v/>
      </c>
      <c r="I32" s="16" t="str">
        <f>IF(Setup!B39&lt;&gt;"",F32*G32,"")</f>
        <v/>
      </c>
      <c r="J32" s="16" t="str">
        <f>IF(Setup!B39&lt;&gt;"",F32*H32*$B4,"")</f>
        <v/>
      </c>
      <c r="K32" s="16" t="str">
        <f>IF(Setup!B39&lt;&gt;"",IF(E32=0,$B5,0),"")</f>
        <v/>
      </c>
      <c r="L32" s="44" t="str">
        <f>IF(Setup!B39&lt;&gt;"",I32+J32+K32,"")</f>
        <v/>
      </c>
      <c r="M32" s="16" t="str">
        <f>IF(Setup!B39&lt;&gt;"",Payroll_Oct!P32,"")</f>
        <v/>
      </c>
      <c r="N32" s="46">
        <v>0</v>
      </c>
      <c r="O32" s="46">
        <v>0</v>
      </c>
      <c r="P32" s="44" t="str">
        <f>IF(Setup!B39&lt;&gt;"",M32+N32-O32,"")</f>
        <v/>
      </c>
      <c r="Q32" s="46">
        <v>0</v>
      </c>
      <c r="R32" s="47" t="str">
        <f>IF(Setup!B39&lt;&gt;"",L32-O32-Q32,"")</f>
        <v/>
      </c>
    </row>
    <row r="33" spans="1:18" ht="21.75" customHeight="1" x14ac:dyDescent="0.3">
      <c r="A33" s="18">
        <f>Setup!B40</f>
        <v>0</v>
      </c>
      <c r="B33" s="48" t="str">
        <f>IF(Setup!B40&lt;&gt;"",Setup!C40,"")</f>
        <v/>
      </c>
      <c r="C33" s="49" t="str">
        <f>IF(Setup!B40&lt;&gt;"",$B3,"")</f>
        <v/>
      </c>
      <c r="D33" s="50" t="str">
        <f>IF(Setup!B40&lt;&gt;"",Attendance_Nov!AD38,"")</f>
        <v/>
      </c>
      <c r="E33" s="49" t="str">
        <f>IF(Setup!B40&lt;&gt;"",Attendance_Nov!AD39,"")</f>
        <v/>
      </c>
      <c r="F33" s="51" t="str">
        <f>IFERROR(IF(Setup!B40&lt;&gt;"",B33/C33,""),"")</f>
        <v/>
      </c>
      <c r="G33" s="50" t="str">
        <f>IF(Setup!B40&lt;&gt;"",MIN(D33,C33),"")</f>
        <v/>
      </c>
      <c r="H33" s="50" t="str">
        <f>IF(Setup!B40&lt;&gt;"",MAX(D33-C33,0),"")</f>
        <v/>
      </c>
      <c r="I33" s="19" t="str">
        <f>IF(Setup!B40&lt;&gt;"",F33*G33,"")</f>
        <v/>
      </c>
      <c r="J33" s="19" t="str">
        <f>IF(Setup!B40&lt;&gt;"",F33*H33*$B4,"")</f>
        <v/>
      </c>
      <c r="K33" s="19" t="str">
        <f>IF(Setup!B40&lt;&gt;"",IF(E33=0,$B5,0),"")</f>
        <v/>
      </c>
      <c r="L33" s="52" t="str">
        <f>IF(Setup!B40&lt;&gt;"",I33+J33+K33,"")</f>
        <v/>
      </c>
      <c r="M33" s="19" t="str">
        <f>IF(Setup!B40&lt;&gt;"",Payroll_Oct!P33,"")</f>
        <v/>
      </c>
      <c r="N33" s="46">
        <v>0</v>
      </c>
      <c r="O33" s="46">
        <v>0</v>
      </c>
      <c r="P33" s="52" t="str">
        <f>IF(Setup!B40&lt;&gt;"",M33+N33-O33,"")</f>
        <v/>
      </c>
      <c r="Q33" s="46">
        <v>0</v>
      </c>
      <c r="R33" s="47" t="str">
        <f>IF(Setup!B40&lt;&gt;"",L33-O33-Q33,"")</f>
        <v/>
      </c>
    </row>
    <row r="34" spans="1:18" ht="21.75" customHeight="1" x14ac:dyDescent="0.3">
      <c r="A34" s="1">
        <f>Setup!B41</f>
        <v>0</v>
      </c>
      <c r="B34" s="40" t="str">
        <f>IF(Setup!B41&lt;&gt;"",Setup!C41,"")</f>
        <v/>
      </c>
      <c r="C34" s="41" t="str">
        <f>IF(Setup!B41&lt;&gt;"",$B3,"")</f>
        <v/>
      </c>
      <c r="D34" s="42" t="str">
        <f>IF(Setup!B41&lt;&gt;"",Attendance_Nov!AE38,"")</f>
        <v/>
      </c>
      <c r="E34" s="41" t="str">
        <f>IF(Setup!B41&lt;&gt;"",Attendance_Nov!AE39,"")</f>
        <v/>
      </c>
      <c r="F34" s="43" t="str">
        <f>IFERROR(IF(Setup!B41&lt;&gt;"",B34/C34,""),"")</f>
        <v/>
      </c>
      <c r="G34" s="42" t="str">
        <f>IF(Setup!B41&lt;&gt;"",MIN(D34,C34),"")</f>
        <v/>
      </c>
      <c r="H34" s="42" t="str">
        <f>IF(Setup!B41&lt;&gt;"",MAX(D34-C34,0),"")</f>
        <v/>
      </c>
      <c r="I34" s="16" t="str">
        <f>IF(Setup!B41&lt;&gt;"",F34*G34,"")</f>
        <v/>
      </c>
      <c r="J34" s="16" t="str">
        <f>IF(Setup!B41&lt;&gt;"",F34*H34*$B4,"")</f>
        <v/>
      </c>
      <c r="K34" s="16" t="str">
        <f>IF(Setup!B41&lt;&gt;"",IF(E34=0,$B5,0),"")</f>
        <v/>
      </c>
      <c r="L34" s="44" t="str">
        <f>IF(Setup!B41&lt;&gt;"",I34+J34+K34,"")</f>
        <v/>
      </c>
      <c r="M34" s="16" t="str">
        <f>IF(Setup!B41&lt;&gt;"",Payroll_Oct!P34,"")</f>
        <v/>
      </c>
      <c r="N34" s="46">
        <v>0</v>
      </c>
      <c r="O34" s="46">
        <v>0</v>
      </c>
      <c r="P34" s="44" t="str">
        <f>IF(Setup!B41&lt;&gt;"",M34+N34-O34,"")</f>
        <v/>
      </c>
      <c r="Q34" s="46">
        <v>0</v>
      </c>
      <c r="R34" s="47" t="str">
        <f>IF(Setup!B41&lt;&gt;"",L34-O34-Q34,"")</f>
        <v/>
      </c>
    </row>
    <row r="35" spans="1:18" ht="21.75" customHeight="1" x14ac:dyDescent="0.3">
      <c r="A35" s="18">
        <f>Setup!B42</f>
        <v>0</v>
      </c>
      <c r="B35" s="48" t="str">
        <f>IF(Setup!B42&lt;&gt;"",Setup!C42,"")</f>
        <v/>
      </c>
      <c r="C35" s="49" t="str">
        <f>IF(Setup!B42&lt;&gt;"",$B3,"")</f>
        <v/>
      </c>
      <c r="D35" s="50" t="str">
        <f>IF(Setup!B42&lt;&gt;"",Attendance_Nov!AF38,"")</f>
        <v/>
      </c>
      <c r="E35" s="49" t="str">
        <f>IF(Setup!B42&lt;&gt;"",Attendance_Nov!AF39,"")</f>
        <v/>
      </c>
      <c r="F35" s="51" t="str">
        <f>IFERROR(IF(Setup!B42&lt;&gt;"",B35/C35,""),"")</f>
        <v/>
      </c>
      <c r="G35" s="50" t="str">
        <f>IF(Setup!B42&lt;&gt;"",MIN(D35,C35),"")</f>
        <v/>
      </c>
      <c r="H35" s="50" t="str">
        <f>IF(Setup!B42&lt;&gt;"",MAX(D35-C35,0),"")</f>
        <v/>
      </c>
      <c r="I35" s="19" t="str">
        <f>IF(Setup!B42&lt;&gt;"",F35*G35,"")</f>
        <v/>
      </c>
      <c r="J35" s="19" t="str">
        <f>IF(Setup!B42&lt;&gt;"",F35*H35*$B4,"")</f>
        <v/>
      </c>
      <c r="K35" s="19" t="str">
        <f>IF(Setup!B42&lt;&gt;"",IF(E35=0,$B5,0),"")</f>
        <v/>
      </c>
      <c r="L35" s="52" t="str">
        <f>IF(Setup!B42&lt;&gt;"",I35+J35+K35,"")</f>
        <v/>
      </c>
      <c r="M35" s="19" t="str">
        <f>IF(Setup!B42&lt;&gt;"",Payroll_Oct!P35,"")</f>
        <v/>
      </c>
      <c r="N35" s="46">
        <v>0</v>
      </c>
      <c r="O35" s="46">
        <v>0</v>
      </c>
      <c r="P35" s="52" t="str">
        <f>IF(Setup!B42&lt;&gt;"",M35+N35-O35,"")</f>
        <v/>
      </c>
      <c r="Q35" s="46">
        <v>0</v>
      </c>
      <c r="R35" s="47" t="str">
        <f>IF(Setup!B42&lt;&gt;"",L35-O35-Q35,"")</f>
        <v/>
      </c>
    </row>
    <row r="36" spans="1:18" ht="21.75" customHeight="1" x14ac:dyDescent="0.3">
      <c r="A36" s="1">
        <f>Setup!B43</f>
        <v>0</v>
      </c>
      <c r="B36" s="40" t="str">
        <f>IF(Setup!B43&lt;&gt;"",Setup!C43,"")</f>
        <v/>
      </c>
      <c r="C36" s="41" t="str">
        <f>IF(Setup!B43&lt;&gt;"",$B3,"")</f>
        <v/>
      </c>
      <c r="D36" s="42" t="str">
        <f>IF(Setup!B43&lt;&gt;"",Attendance_Nov!AG38,"")</f>
        <v/>
      </c>
      <c r="E36" s="41" t="str">
        <f>IF(Setup!B43&lt;&gt;"",Attendance_Nov!AG39,"")</f>
        <v/>
      </c>
      <c r="F36" s="43" t="str">
        <f>IFERROR(IF(Setup!B43&lt;&gt;"",B36/C36,""),"")</f>
        <v/>
      </c>
      <c r="G36" s="42" t="str">
        <f>IF(Setup!B43&lt;&gt;"",MIN(D36,C36),"")</f>
        <v/>
      </c>
      <c r="H36" s="42" t="str">
        <f>IF(Setup!B43&lt;&gt;"",MAX(D36-C36,0),"")</f>
        <v/>
      </c>
      <c r="I36" s="16" t="str">
        <f>IF(Setup!B43&lt;&gt;"",F36*G36,"")</f>
        <v/>
      </c>
      <c r="J36" s="16" t="str">
        <f>IF(Setup!B43&lt;&gt;"",F36*H36*$B4,"")</f>
        <v/>
      </c>
      <c r="K36" s="16" t="str">
        <f>IF(Setup!B43&lt;&gt;"",IF(E36=0,$B5,0),"")</f>
        <v/>
      </c>
      <c r="L36" s="44" t="str">
        <f>IF(Setup!B43&lt;&gt;"",I36+J36+K36,"")</f>
        <v/>
      </c>
      <c r="M36" s="16" t="str">
        <f>IF(Setup!B43&lt;&gt;"",Payroll_Oct!P36,"")</f>
        <v/>
      </c>
      <c r="N36" s="46">
        <v>0</v>
      </c>
      <c r="O36" s="46">
        <v>0</v>
      </c>
      <c r="P36" s="44" t="str">
        <f>IF(Setup!B43&lt;&gt;"",M36+N36-O36,"")</f>
        <v/>
      </c>
      <c r="Q36" s="46">
        <v>0</v>
      </c>
      <c r="R36" s="47" t="str">
        <f>IF(Setup!B43&lt;&gt;"",L36-O36-Q36,"")</f>
        <v/>
      </c>
    </row>
    <row r="37" spans="1:18" ht="21.75" customHeight="1" x14ac:dyDescent="0.3">
      <c r="A37" s="18">
        <f>Setup!B44</f>
        <v>0</v>
      </c>
      <c r="B37" s="48" t="str">
        <f>IF(Setup!B44&lt;&gt;"",Setup!C44,"")</f>
        <v/>
      </c>
      <c r="C37" s="49" t="str">
        <f>IF(Setup!B44&lt;&gt;"",$B3,"")</f>
        <v/>
      </c>
      <c r="D37" s="50" t="str">
        <f>IF(Setup!B44&lt;&gt;"",Attendance_Nov!AH38,"")</f>
        <v/>
      </c>
      <c r="E37" s="49" t="str">
        <f>IF(Setup!B44&lt;&gt;"",Attendance_Nov!AH39,"")</f>
        <v/>
      </c>
      <c r="F37" s="51" t="str">
        <f>IFERROR(IF(Setup!B44&lt;&gt;"",B37/C37,""),"")</f>
        <v/>
      </c>
      <c r="G37" s="50" t="str">
        <f>IF(Setup!B44&lt;&gt;"",MIN(D37,C37),"")</f>
        <v/>
      </c>
      <c r="H37" s="50" t="str">
        <f>IF(Setup!B44&lt;&gt;"",MAX(D37-C37,0),"")</f>
        <v/>
      </c>
      <c r="I37" s="19" t="str">
        <f>IF(Setup!B44&lt;&gt;"",F37*G37,"")</f>
        <v/>
      </c>
      <c r="J37" s="19" t="str">
        <f>IF(Setup!B44&lt;&gt;"",F37*H37*$B4,"")</f>
        <v/>
      </c>
      <c r="K37" s="19" t="str">
        <f>IF(Setup!B44&lt;&gt;"",IF(E37=0,$B5,0),"")</f>
        <v/>
      </c>
      <c r="L37" s="52" t="str">
        <f>IF(Setup!B44&lt;&gt;"",I37+J37+K37,"")</f>
        <v/>
      </c>
      <c r="M37" s="19" t="str">
        <f>IF(Setup!B44&lt;&gt;"",Payroll_Oct!P37,"")</f>
        <v/>
      </c>
      <c r="N37" s="46">
        <v>0</v>
      </c>
      <c r="O37" s="46">
        <v>0</v>
      </c>
      <c r="P37" s="52" t="str">
        <f>IF(Setup!B44&lt;&gt;"",M37+N37-O37,"")</f>
        <v/>
      </c>
      <c r="Q37" s="46">
        <v>0</v>
      </c>
      <c r="R37" s="47" t="str">
        <f>IF(Setup!B44&lt;&gt;"",L37-O37-Q37,"")</f>
        <v/>
      </c>
    </row>
    <row r="38" spans="1:18" ht="25.5" customHeight="1" x14ac:dyDescent="0.3">
      <c r="A38" s="55" t="s">
        <v>113</v>
      </c>
      <c r="B38" s="55"/>
      <c r="C38" s="17">
        <f>SUM(C8:C37)</f>
        <v>2800</v>
      </c>
      <c r="D38" s="36">
        <f>SUM(D8:D37)</f>
        <v>0</v>
      </c>
      <c r="E38" s="17">
        <f>SUM(E8:E37)</f>
        <v>0</v>
      </c>
      <c r="F38" s="17"/>
      <c r="G38" s="36">
        <f t="shared" ref="G38:R38" si="0">SUM(G8:G37)</f>
        <v>0</v>
      </c>
      <c r="H38" s="36">
        <f t="shared" si="0"/>
        <v>0</v>
      </c>
      <c r="I38" s="17">
        <f t="shared" si="0"/>
        <v>0</v>
      </c>
      <c r="J38" s="17">
        <f t="shared" si="0"/>
        <v>0</v>
      </c>
      <c r="K38" s="17">
        <f t="shared" si="0"/>
        <v>0</v>
      </c>
      <c r="L38" s="17">
        <f t="shared" si="0"/>
        <v>0</v>
      </c>
      <c r="M38" s="17">
        <f t="shared" si="0"/>
        <v>93000</v>
      </c>
      <c r="N38" s="17">
        <f t="shared" si="0"/>
        <v>0</v>
      </c>
      <c r="O38" s="17">
        <f t="shared" si="0"/>
        <v>0</v>
      </c>
      <c r="P38" s="17">
        <f t="shared" si="0"/>
        <v>93000</v>
      </c>
      <c r="Q38" s="17">
        <f t="shared" si="0"/>
        <v>0</v>
      </c>
      <c r="R38" s="17">
        <f t="shared" si="0"/>
        <v>0</v>
      </c>
    </row>
    <row r="40" spans="1:18" ht="19.5" customHeight="1" x14ac:dyDescent="0.3">
      <c r="A40" s="56" t="s">
        <v>114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</sheetData>
  <mergeCells count="3">
    <mergeCell ref="A1:R1"/>
    <mergeCell ref="A38:B38"/>
    <mergeCell ref="A40:R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6600"/>
  </sheetPr>
  <dimension ref="A1:R40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5546875" defaultRowHeight="14.4" x14ac:dyDescent="0.3"/>
  <cols>
    <col min="1" max="1" width="22" customWidth="1"/>
    <col min="2" max="2" width="15" customWidth="1"/>
    <col min="3" max="4" width="11" customWidth="1"/>
    <col min="5" max="5" width="10" customWidth="1"/>
    <col min="6" max="7" width="12" customWidth="1"/>
    <col min="8" max="8" width="10" customWidth="1"/>
    <col min="9" max="9" width="14" customWidth="1"/>
    <col min="10" max="10" width="13" customWidth="1"/>
    <col min="11" max="11" width="16" customWidth="1"/>
    <col min="12" max="12" width="14" customWidth="1"/>
    <col min="13" max="16" width="12" customWidth="1"/>
    <col min="17" max="17" width="15" customWidth="1"/>
    <col min="18" max="18" width="14" customWidth="1"/>
  </cols>
  <sheetData>
    <row r="1" spans="1:18" ht="31.5" customHeight="1" x14ac:dyDescent="0.3">
      <c r="A1" s="54" t="s">
        <v>135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1" t="s">
        <v>93</v>
      </c>
      <c r="B2" s="10" t="s">
        <v>136</v>
      </c>
    </row>
    <row r="3" spans="1:18" ht="19.5" customHeight="1" x14ac:dyDescent="0.3">
      <c r="A3" s="1" t="s">
        <v>95</v>
      </c>
      <c r="B3" s="10">
        <v>216</v>
      </c>
    </row>
    <row r="4" spans="1:18" ht="19.5" customHeight="1" x14ac:dyDescent="0.3">
      <c r="A4" s="1" t="s">
        <v>14</v>
      </c>
      <c r="B4" s="38">
        <f>Setup!B9</f>
        <v>1.5</v>
      </c>
    </row>
    <row r="5" spans="1:18" ht="19.5" customHeight="1" x14ac:dyDescent="0.3">
      <c r="A5" s="1" t="s">
        <v>16</v>
      </c>
      <c r="B5" s="12">
        <f>Setup!B10</f>
        <v>0</v>
      </c>
    </row>
    <row r="7" spans="1:18" ht="36" customHeight="1" x14ac:dyDescent="0.3">
      <c r="A7" s="39" t="s">
        <v>37</v>
      </c>
      <c r="B7" s="39" t="s">
        <v>96</v>
      </c>
      <c r="C7" s="39" t="s">
        <v>97</v>
      </c>
      <c r="D7" s="39" t="s">
        <v>98</v>
      </c>
      <c r="E7" s="39" t="s">
        <v>99</v>
      </c>
      <c r="F7" s="39" t="s">
        <v>100</v>
      </c>
      <c r="G7" s="39" t="s">
        <v>101</v>
      </c>
      <c r="H7" s="39" t="s">
        <v>102</v>
      </c>
      <c r="I7" s="21" t="s">
        <v>103</v>
      </c>
      <c r="J7" s="21" t="s">
        <v>104</v>
      </c>
      <c r="K7" s="21" t="s">
        <v>105</v>
      </c>
      <c r="L7" s="21" t="s">
        <v>106</v>
      </c>
      <c r="M7" s="21" t="s">
        <v>107</v>
      </c>
      <c r="N7" s="21" t="s">
        <v>108</v>
      </c>
      <c r="O7" s="21" t="s">
        <v>109</v>
      </c>
      <c r="P7" s="21" t="s">
        <v>110</v>
      </c>
      <c r="Q7" s="21" t="s">
        <v>111</v>
      </c>
      <c r="R7" s="21" t="s">
        <v>112</v>
      </c>
    </row>
    <row r="8" spans="1:18" ht="21.75" customHeight="1" x14ac:dyDescent="0.3">
      <c r="A8" s="1" t="str">
        <f>Setup!B15</f>
        <v>Sheraz</v>
      </c>
      <c r="B8" s="40">
        <f>IF(Setup!B15&lt;&gt;"",Setup!C15,"")</f>
        <v>38000</v>
      </c>
      <c r="C8" s="41">
        <f>IF(Setup!B15&lt;&gt;"",$B3,"")</f>
        <v>216</v>
      </c>
      <c r="D8" s="42">
        <f>IF(Setup!B15&lt;&gt;"",Attendance_Dec!E39,"")</f>
        <v>0</v>
      </c>
      <c r="E8" s="41">
        <f>IF(Setup!B15&lt;&gt;"",Attendance_Dec!E40,"")</f>
        <v>0</v>
      </c>
      <c r="F8" s="43">
        <f>IFERROR(IF(Setup!B15&lt;&gt;"",B8/C8,""),"")</f>
        <v>175.92592592592592</v>
      </c>
      <c r="G8" s="42">
        <f>IF(Setup!B15&lt;&gt;"",MIN(D8,C8),"")</f>
        <v>0</v>
      </c>
      <c r="H8" s="42">
        <f>IF(Setup!B15&lt;&gt;"",MAX(D8-C8,0),"")</f>
        <v>0</v>
      </c>
      <c r="I8" s="16">
        <f>IF(Setup!B15&lt;&gt;"",F8*G8,"")</f>
        <v>0</v>
      </c>
      <c r="J8" s="16">
        <f>IF(Setup!B15&lt;&gt;"",F8*H8*$B4,"")</f>
        <v>0</v>
      </c>
      <c r="K8" s="16">
        <f>IF(Setup!B15&lt;&gt;"",IF(E8=0,$B5,0),"")</f>
        <v>0</v>
      </c>
      <c r="L8" s="44">
        <f>IF(Setup!B15&lt;&gt;"",I8+J8+K8,"")</f>
        <v>0</v>
      </c>
      <c r="M8" s="16">
        <f>IF(Setup!B15&lt;&gt;"",Payroll_Nov!P8,"")</f>
        <v>40000</v>
      </c>
      <c r="N8" s="46">
        <v>0</v>
      </c>
      <c r="O8" s="46">
        <v>0</v>
      </c>
      <c r="P8" s="44">
        <f>IF(Setup!B15&lt;&gt;"",M8+N8-O8,"")</f>
        <v>40000</v>
      </c>
      <c r="Q8" s="46">
        <v>0</v>
      </c>
      <c r="R8" s="47">
        <f>IF(Setup!B15&lt;&gt;"",L8-O8-Q8,"")</f>
        <v>0</v>
      </c>
    </row>
    <row r="9" spans="1:18" ht="21.75" customHeight="1" x14ac:dyDescent="0.3">
      <c r="A9" s="18" t="str">
        <f>Setup!B16</f>
        <v>Zain</v>
      </c>
      <c r="B9" s="48">
        <f>IF(Setup!B16&lt;&gt;"",Setup!C16,"")</f>
        <v>53000</v>
      </c>
      <c r="C9" s="49">
        <f>IF(Setup!B16&lt;&gt;"",$B3,"")</f>
        <v>216</v>
      </c>
      <c r="D9" s="50">
        <f>IF(Setup!B16&lt;&gt;"",Attendance_Dec!F39,"")</f>
        <v>0</v>
      </c>
      <c r="E9" s="49">
        <f>IF(Setup!B16&lt;&gt;"",Attendance_Dec!F40,"")</f>
        <v>0</v>
      </c>
      <c r="F9" s="51">
        <f>IFERROR(IF(Setup!B16&lt;&gt;"",B9/C9,""),"")</f>
        <v>245.37037037037038</v>
      </c>
      <c r="G9" s="50">
        <f>IF(Setup!B16&lt;&gt;"",MIN(D9,C9),"")</f>
        <v>0</v>
      </c>
      <c r="H9" s="50">
        <f>IF(Setup!B16&lt;&gt;"",MAX(D9-C9,0),"")</f>
        <v>0</v>
      </c>
      <c r="I9" s="19">
        <f>IF(Setup!B16&lt;&gt;"",F9*G9,"")</f>
        <v>0</v>
      </c>
      <c r="J9" s="19">
        <f>IF(Setup!B16&lt;&gt;"",F9*H9*$B4,"")</f>
        <v>0</v>
      </c>
      <c r="K9" s="19">
        <f>IF(Setup!B16&lt;&gt;"",IF(E9=0,$B5,0),"")</f>
        <v>0</v>
      </c>
      <c r="L9" s="52">
        <f>IF(Setup!B16&lt;&gt;"",I9+J9+K9,"")</f>
        <v>0</v>
      </c>
      <c r="M9" s="19">
        <f>IF(Setup!B16&lt;&gt;"",Payroll_Nov!P9,"")</f>
        <v>0</v>
      </c>
      <c r="N9" s="46">
        <v>0</v>
      </c>
      <c r="O9" s="46">
        <v>0</v>
      </c>
      <c r="P9" s="52">
        <f>IF(Setup!B16&lt;&gt;"",M9+N9-O9,"")</f>
        <v>0</v>
      </c>
      <c r="Q9" s="46">
        <v>0</v>
      </c>
      <c r="R9" s="47">
        <f>IF(Setup!B16&lt;&gt;"",L9-O9-Q9,"")</f>
        <v>0</v>
      </c>
    </row>
    <row r="10" spans="1:18" ht="21.75" customHeight="1" x14ac:dyDescent="0.3">
      <c r="A10" s="1" t="str">
        <f>Setup!B17</f>
        <v>Yousaf</v>
      </c>
      <c r="B10" s="40">
        <f>IF(Setup!B17&lt;&gt;"",Setup!C17,"")</f>
        <v>28000</v>
      </c>
      <c r="C10" s="41">
        <f>IF(Setup!B17&lt;&gt;"",$B3,"")</f>
        <v>216</v>
      </c>
      <c r="D10" s="42">
        <f>IF(Setup!B17&lt;&gt;"",Attendance_Dec!G39,"")</f>
        <v>0</v>
      </c>
      <c r="E10" s="41">
        <f>IF(Setup!B17&lt;&gt;"",Attendance_Dec!G40,"")</f>
        <v>0</v>
      </c>
      <c r="F10" s="43">
        <f>IFERROR(IF(Setup!B17&lt;&gt;"",B10/C10,""),"")</f>
        <v>129.62962962962962</v>
      </c>
      <c r="G10" s="42">
        <f>IF(Setup!B17&lt;&gt;"",MIN(D10,C10),"")</f>
        <v>0</v>
      </c>
      <c r="H10" s="42">
        <f>IF(Setup!B17&lt;&gt;"",MAX(D10-C10,0),"")</f>
        <v>0</v>
      </c>
      <c r="I10" s="16">
        <f>IF(Setup!B17&lt;&gt;"",F10*G10,"")</f>
        <v>0</v>
      </c>
      <c r="J10" s="16">
        <f>IF(Setup!B17&lt;&gt;"",F10*H10*$B4,"")</f>
        <v>0</v>
      </c>
      <c r="K10" s="16">
        <f>IF(Setup!B17&lt;&gt;"",IF(E10=0,$B5,0),"")</f>
        <v>0</v>
      </c>
      <c r="L10" s="44">
        <f>IF(Setup!B17&lt;&gt;"",I10+J10+K10,"")</f>
        <v>0</v>
      </c>
      <c r="M10" s="16">
        <f>IF(Setup!B17&lt;&gt;"",Payroll_Nov!P10,"")</f>
        <v>0</v>
      </c>
      <c r="N10" s="46">
        <v>0</v>
      </c>
      <c r="O10" s="46">
        <v>0</v>
      </c>
      <c r="P10" s="44">
        <f>IF(Setup!B17&lt;&gt;"",M10+N10-O10,"")</f>
        <v>0</v>
      </c>
      <c r="Q10" s="46">
        <v>0</v>
      </c>
      <c r="R10" s="47">
        <f>IF(Setup!B17&lt;&gt;"",L10-O10-Q10,"")</f>
        <v>0</v>
      </c>
    </row>
    <row r="11" spans="1:18" ht="21.75" customHeight="1" x14ac:dyDescent="0.3">
      <c r="A11" s="18" t="str">
        <f>Setup!B18</f>
        <v>Hamza</v>
      </c>
      <c r="B11" s="48">
        <f>IF(Setup!B18&lt;&gt;"",Setup!C18,"")</f>
        <v>25000</v>
      </c>
      <c r="C11" s="49">
        <f>IF(Setup!B18&lt;&gt;"",$B3,"")</f>
        <v>216</v>
      </c>
      <c r="D11" s="50">
        <f>IF(Setup!B18&lt;&gt;"",Attendance_Dec!H39,"")</f>
        <v>0</v>
      </c>
      <c r="E11" s="49">
        <f>IF(Setup!B18&lt;&gt;"",Attendance_Dec!H40,"")</f>
        <v>0</v>
      </c>
      <c r="F11" s="51">
        <f>IFERROR(IF(Setup!B18&lt;&gt;"",B11/C11,""),"")</f>
        <v>115.74074074074075</v>
      </c>
      <c r="G11" s="50">
        <f>IF(Setup!B18&lt;&gt;"",MIN(D11,C11),"")</f>
        <v>0</v>
      </c>
      <c r="H11" s="50">
        <f>IF(Setup!B18&lt;&gt;"",MAX(D11-C11,0),"")</f>
        <v>0</v>
      </c>
      <c r="I11" s="19">
        <f>IF(Setup!B18&lt;&gt;"",F11*G11,"")</f>
        <v>0</v>
      </c>
      <c r="J11" s="19">
        <f>IF(Setup!B18&lt;&gt;"",F11*H11*$B4,"")</f>
        <v>0</v>
      </c>
      <c r="K11" s="19">
        <f>IF(Setup!B18&lt;&gt;"",IF(E11=0,$B5,0),"")</f>
        <v>0</v>
      </c>
      <c r="L11" s="52">
        <f>IF(Setup!B18&lt;&gt;"",I11+J11+K11,"")</f>
        <v>0</v>
      </c>
      <c r="M11" s="19">
        <f>IF(Setup!B18&lt;&gt;"",Payroll_Nov!P11,"")</f>
        <v>18000</v>
      </c>
      <c r="N11" s="46">
        <v>0</v>
      </c>
      <c r="O11" s="46">
        <v>0</v>
      </c>
      <c r="P11" s="52">
        <f>IF(Setup!B18&lt;&gt;"",M11+N11-O11,"")</f>
        <v>18000</v>
      </c>
      <c r="Q11" s="46">
        <v>0</v>
      </c>
      <c r="R11" s="47">
        <f>IF(Setup!B18&lt;&gt;"",L11-O11-Q11,"")</f>
        <v>0</v>
      </c>
    </row>
    <row r="12" spans="1:18" ht="21.75" customHeight="1" x14ac:dyDescent="0.3">
      <c r="A12" s="1" t="str">
        <f>Setup!B19</f>
        <v>Amjad</v>
      </c>
      <c r="B12" s="40">
        <f>IF(Setup!B19&lt;&gt;"",Setup!C19,"")</f>
        <v>25000</v>
      </c>
      <c r="C12" s="41">
        <f>IF(Setup!B19&lt;&gt;"",$B3,"")</f>
        <v>216</v>
      </c>
      <c r="D12" s="42">
        <f>IF(Setup!B19&lt;&gt;"",Attendance_Dec!I39,"")</f>
        <v>0</v>
      </c>
      <c r="E12" s="41">
        <f>IF(Setup!B19&lt;&gt;"",Attendance_Dec!I40,"")</f>
        <v>0</v>
      </c>
      <c r="F12" s="43">
        <f>IFERROR(IF(Setup!B19&lt;&gt;"",B12/C12,""),"")</f>
        <v>115.74074074074075</v>
      </c>
      <c r="G12" s="42">
        <f>IF(Setup!B19&lt;&gt;"",MIN(D12,C12),"")</f>
        <v>0</v>
      </c>
      <c r="H12" s="42">
        <f>IF(Setup!B19&lt;&gt;"",MAX(D12-C12,0),"")</f>
        <v>0</v>
      </c>
      <c r="I12" s="16">
        <f>IF(Setup!B19&lt;&gt;"",F12*G12,"")</f>
        <v>0</v>
      </c>
      <c r="J12" s="16">
        <f>IF(Setup!B19&lt;&gt;"",F12*H12*$B4,"")</f>
        <v>0</v>
      </c>
      <c r="K12" s="16">
        <f>IF(Setup!B19&lt;&gt;"",IF(E12=0,$B5,0),"")</f>
        <v>0</v>
      </c>
      <c r="L12" s="44">
        <f>IF(Setup!B19&lt;&gt;"",I12+J12+K12,"")</f>
        <v>0</v>
      </c>
      <c r="M12" s="16">
        <f>IF(Setup!B19&lt;&gt;"",Payroll_Nov!P12,"")</f>
        <v>5000</v>
      </c>
      <c r="N12" s="46">
        <v>0</v>
      </c>
      <c r="O12" s="46">
        <v>0</v>
      </c>
      <c r="P12" s="44">
        <f>IF(Setup!B19&lt;&gt;"",M12+N12-O12,"")</f>
        <v>5000</v>
      </c>
      <c r="Q12" s="46">
        <v>0</v>
      </c>
      <c r="R12" s="47">
        <f>IF(Setup!B19&lt;&gt;"",L12-O12-Q12,"")</f>
        <v>0</v>
      </c>
    </row>
    <row r="13" spans="1:18" ht="21.75" customHeight="1" x14ac:dyDescent="0.3">
      <c r="A13" s="18" t="str">
        <f>Setup!B20</f>
        <v>Tanveer</v>
      </c>
      <c r="B13" s="48">
        <f>IF(Setup!B20&lt;&gt;"",Setup!C20,"")</f>
        <v>25000</v>
      </c>
      <c r="C13" s="49">
        <f>IF(Setup!B20&lt;&gt;"",$B3,"")</f>
        <v>216</v>
      </c>
      <c r="D13" s="50">
        <f>IF(Setup!B20&lt;&gt;"",Attendance_Dec!J39,"")</f>
        <v>0</v>
      </c>
      <c r="E13" s="49">
        <f>IF(Setup!B20&lt;&gt;"",Attendance_Dec!J40,"")</f>
        <v>0</v>
      </c>
      <c r="F13" s="51">
        <f>IFERROR(IF(Setup!B20&lt;&gt;"",B13/C13,""),"")</f>
        <v>115.74074074074075</v>
      </c>
      <c r="G13" s="50">
        <f>IF(Setup!B20&lt;&gt;"",MIN(D13,C13),"")</f>
        <v>0</v>
      </c>
      <c r="H13" s="50">
        <f>IF(Setup!B20&lt;&gt;"",MAX(D13-C13,0),"")</f>
        <v>0</v>
      </c>
      <c r="I13" s="19">
        <f>IF(Setup!B20&lt;&gt;"",F13*G13,"")</f>
        <v>0</v>
      </c>
      <c r="J13" s="19">
        <f>IF(Setup!B20&lt;&gt;"",F13*H13*$B4,"")</f>
        <v>0</v>
      </c>
      <c r="K13" s="19">
        <f>IF(Setup!B20&lt;&gt;"",IF(E13=0,$B5,0),"")</f>
        <v>0</v>
      </c>
      <c r="L13" s="52">
        <f>IF(Setup!B20&lt;&gt;"",I13+J13+K13,"")</f>
        <v>0</v>
      </c>
      <c r="M13" s="19">
        <f>IF(Setup!B20&lt;&gt;"",Payroll_Nov!P13,"")</f>
        <v>10000</v>
      </c>
      <c r="N13" s="46">
        <v>0</v>
      </c>
      <c r="O13" s="46">
        <v>0</v>
      </c>
      <c r="P13" s="52">
        <f>IF(Setup!B20&lt;&gt;"",M13+N13-O13,"")</f>
        <v>10000</v>
      </c>
      <c r="Q13" s="46">
        <v>0</v>
      </c>
      <c r="R13" s="47">
        <f>IF(Setup!B20&lt;&gt;"",L13-O13-Q13,"")</f>
        <v>0</v>
      </c>
    </row>
    <row r="14" spans="1:18" ht="21.75" customHeight="1" x14ac:dyDescent="0.3">
      <c r="A14" s="1" t="str">
        <f>Setup!B21</f>
        <v>Ali Zaman</v>
      </c>
      <c r="B14" s="40">
        <f>IF(Setup!B21&lt;&gt;"",Setup!C21,"")</f>
        <v>75000</v>
      </c>
      <c r="C14" s="41">
        <f>IF(Setup!B21&lt;&gt;"",$B3,"")</f>
        <v>216</v>
      </c>
      <c r="D14" s="42">
        <f>IF(Setup!B21&lt;&gt;"",Attendance_Dec!K39,"")</f>
        <v>0</v>
      </c>
      <c r="E14" s="41">
        <f>IF(Setup!B21&lt;&gt;"",Attendance_Dec!K40,"")</f>
        <v>0</v>
      </c>
      <c r="F14" s="43">
        <f>IFERROR(IF(Setup!B21&lt;&gt;"",B14/C14,""),"")</f>
        <v>347.22222222222223</v>
      </c>
      <c r="G14" s="42">
        <f>IF(Setup!B21&lt;&gt;"",MIN(D14,C14),"")</f>
        <v>0</v>
      </c>
      <c r="H14" s="42">
        <f>IF(Setup!B21&lt;&gt;"",MAX(D14-C14,0),"")</f>
        <v>0</v>
      </c>
      <c r="I14" s="16">
        <f>IF(Setup!B21&lt;&gt;"",F14*G14,"")</f>
        <v>0</v>
      </c>
      <c r="J14" s="16">
        <f>IF(Setup!B21&lt;&gt;"",F14*H14*$B4,"")</f>
        <v>0</v>
      </c>
      <c r="K14" s="16">
        <f>IF(Setup!B21&lt;&gt;"",IF(E14=0,$B5,0),"")</f>
        <v>0</v>
      </c>
      <c r="L14" s="44">
        <f>IF(Setup!B21&lt;&gt;"",I14+J14+K14,"")</f>
        <v>0</v>
      </c>
      <c r="M14" s="16">
        <f>IF(Setup!B21&lt;&gt;"",Payroll_Nov!P14,"")</f>
        <v>20000</v>
      </c>
      <c r="N14" s="46">
        <v>0</v>
      </c>
      <c r="O14" s="46">
        <v>0</v>
      </c>
      <c r="P14" s="44">
        <f>IF(Setup!B21&lt;&gt;"",M14+N14-O14,"")</f>
        <v>20000</v>
      </c>
      <c r="Q14" s="46">
        <v>0</v>
      </c>
      <c r="R14" s="47">
        <f>IF(Setup!B21&lt;&gt;"",L14-O14-Q14,"")</f>
        <v>0</v>
      </c>
    </row>
    <row r="15" spans="1:18" ht="21.75" customHeight="1" x14ac:dyDescent="0.3">
      <c r="A15" s="18" t="str">
        <f>Setup!B22</f>
        <v>Awais Ali</v>
      </c>
      <c r="B15" s="48">
        <f>IF(Setup!B22&lt;&gt;"",Setup!C22,"")</f>
        <v>25000</v>
      </c>
      <c r="C15" s="49">
        <f>IF(Setup!B22&lt;&gt;"",$B3,"")</f>
        <v>216</v>
      </c>
      <c r="D15" s="50">
        <f>IF(Setup!B22&lt;&gt;"",Attendance_Dec!L39,"")</f>
        <v>0</v>
      </c>
      <c r="E15" s="49">
        <f>IF(Setup!B22&lt;&gt;"",Attendance_Dec!L40,"")</f>
        <v>0</v>
      </c>
      <c r="F15" s="51">
        <f>IFERROR(IF(Setup!B22&lt;&gt;"",B15/C15,""),"")</f>
        <v>115.74074074074075</v>
      </c>
      <c r="G15" s="50">
        <f>IF(Setup!B22&lt;&gt;"",MIN(D15,C15),"")</f>
        <v>0</v>
      </c>
      <c r="H15" s="50">
        <f>IF(Setup!B22&lt;&gt;"",MAX(D15-C15,0),"")</f>
        <v>0</v>
      </c>
      <c r="I15" s="19">
        <f>IF(Setup!B22&lt;&gt;"",F15*G15,"")</f>
        <v>0</v>
      </c>
      <c r="J15" s="19">
        <f>IF(Setup!B22&lt;&gt;"",F15*H15*$B4,"")</f>
        <v>0</v>
      </c>
      <c r="K15" s="19">
        <f>IF(Setup!B22&lt;&gt;"",IF(E15=0,$B5,0),"")</f>
        <v>0</v>
      </c>
      <c r="L15" s="52">
        <f>IF(Setup!B22&lt;&gt;"",I15+J15+K15,"")</f>
        <v>0</v>
      </c>
      <c r="M15" s="19">
        <f>IF(Setup!B22&lt;&gt;"",Payroll_Nov!P15,"")</f>
        <v>0</v>
      </c>
      <c r="N15" s="46">
        <v>0</v>
      </c>
      <c r="O15" s="46">
        <v>0</v>
      </c>
      <c r="P15" s="52">
        <f>IF(Setup!B22&lt;&gt;"",M15+N15-O15,"")</f>
        <v>0</v>
      </c>
      <c r="Q15" s="46">
        <v>0</v>
      </c>
      <c r="R15" s="47">
        <f>IF(Setup!B22&lt;&gt;"",L15-O15-Q15,"")</f>
        <v>0</v>
      </c>
    </row>
    <row r="16" spans="1:18" ht="21.75" customHeight="1" x14ac:dyDescent="0.3">
      <c r="A16" s="1" t="str">
        <f>Setup!B23</f>
        <v>Ishtiaq</v>
      </c>
      <c r="B16" s="40">
        <f>IF(Setup!B23&lt;&gt;"",Setup!C23,"")</f>
        <v>25000</v>
      </c>
      <c r="C16" s="41">
        <f>IF(Setup!B23&lt;&gt;"",$B3,"")</f>
        <v>216</v>
      </c>
      <c r="D16" s="42">
        <f>IF(Setup!B23&lt;&gt;"",Attendance_Dec!M39,"")</f>
        <v>0</v>
      </c>
      <c r="E16" s="41">
        <f>IF(Setup!B23&lt;&gt;"",Attendance_Dec!M40,"")</f>
        <v>0</v>
      </c>
      <c r="F16" s="43">
        <f>IFERROR(IF(Setup!B23&lt;&gt;"",B16/C16,""),"")</f>
        <v>115.74074074074075</v>
      </c>
      <c r="G16" s="42">
        <f>IF(Setup!B23&lt;&gt;"",MIN(D16,C16),"")</f>
        <v>0</v>
      </c>
      <c r="H16" s="42">
        <f>IF(Setup!B23&lt;&gt;"",MAX(D16-C16,0),"")</f>
        <v>0</v>
      </c>
      <c r="I16" s="16">
        <f>IF(Setup!B23&lt;&gt;"",F16*G16,"")</f>
        <v>0</v>
      </c>
      <c r="J16" s="16">
        <f>IF(Setup!B23&lt;&gt;"",F16*H16*$B4,"")</f>
        <v>0</v>
      </c>
      <c r="K16" s="16">
        <f>IF(Setup!B23&lt;&gt;"",IF(E16=0,$B5,0),"")</f>
        <v>0</v>
      </c>
      <c r="L16" s="44">
        <f>IF(Setup!B23&lt;&gt;"",I16+J16+K16,"")</f>
        <v>0</v>
      </c>
      <c r="M16" s="16">
        <f>IF(Setup!B23&lt;&gt;"",Payroll_Nov!P16,"")</f>
        <v>0</v>
      </c>
      <c r="N16" s="46">
        <v>0</v>
      </c>
      <c r="O16" s="46">
        <v>0</v>
      </c>
      <c r="P16" s="44">
        <f>IF(Setup!B23&lt;&gt;"",M16+N16-O16,"")</f>
        <v>0</v>
      </c>
      <c r="Q16" s="46">
        <v>0</v>
      </c>
      <c r="R16" s="47">
        <f>IF(Setup!B23&lt;&gt;"",L16-O16-Q16,"")</f>
        <v>0</v>
      </c>
    </row>
    <row r="17" spans="1:18" ht="21.75" customHeight="1" x14ac:dyDescent="0.3">
      <c r="A17" s="18" t="str">
        <f>Setup!B24</f>
        <v>Usama bhai</v>
      </c>
      <c r="B17" s="48">
        <f>IF(Setup!B24&lt;&gt;"",Setup!C24,"")</f>
        <v>50000</v>
      </c>
      <c r="C17" s="49">
        <f>IF(Setup!B24&lt;&gt;"",$B3,"")</f>
        <v>216</v>
      </c>
      <c r="D17" s="50">
        <f>IF(Setup!B24&lt;&gt;"",Attendance_Dec!N39,"")</f>
        <v>0</v>
      </c>
      <c r="E17" s="49">
        <f>IF(Setup!B24&lt;&gt;"",Attendance_Dec!N40,"")</f>
        <v>0</v>
      </c>
      <c r="F17" s="51">
        <f>IFERROR(IF(Setup!B24&lt;&gt;"",B17/C17,""),"")</f>
        <v>231.4814814814815</v>
      </c>
      <c r="G17" s="50">
        <f>IF(Setup!B24&lt;&gt;"",MIN(D17,C17),"")</f>
        <v>0</v>
      </c>
      <c r="H17" s="50">
        <f>IF(Setup!B24&lt;&gt;"",MAX(D17-C17,0),"")</f>
        <v>0</v>
      </c>
      <c r="I17" s="19">
        <f>IF(Setup!B24&lt;&gt;"",F17*G17,"")</f>
        <v>0</v>
      </c>
      <c r="J17" s="19">
        <f>IF(Setup!B24&lt;&gt;"",F17*H17*$B4,"")</f>
        <v>0</v>
      </c>
      <c r="K17" s="19">
        <f>IF(Setup!B24&lt;&gt;"",IF(E17=0,$B5,0),"")</f>
        <v>0</v>
      </c>
      <c r="L17" s="52">
        <f>IF(Setup!B24&lt;&gt;"",I17+J17+K17,"")</f>
        <v>0</v>
      </c>
      <c r="M17" s="19">
        <f>IF(Setup!B24&lt;&gt;"",Payroll_Nov!P17,"")</f>
        <v>0</v>
      </c>
      <c r="N17" s="46">
        <v>0</v>
      </c>
      <c r="O17" s="46">
        <v>0</v>
      </c>
      <c r="P17" s="52">
        <f>IF(Setup!B24&lt;&gt;"",M17+N17-O17,"")</f>
        <v>0</v>
      </c>
      <c r="Q17" s="46">
        <v>0</v>
      </c>
      <c r="R17" s="47">
        <f>IF(Setup!B24&lt;&gt;"",L17-O17-Q17,"")</f>
        <v>0</v>
      </c>
    </row>
    <row r="18" spans="1:18" ht="21.75" customHeight="1" x14ac:dyDescent="0.3">
      <c r="A18" s="1" t="str">
        <f>Setup!B25</f>
        <v>Ahtisham</v>
      </c>
      <c r="B18" s="40">
        <f>IF(Setup!B25&lt;&gt;"",Setup!C25,"")</f>
        <v>10000</v>
      </c>
      <c r="C18" s="41">
        <f>IF(Setup!B25&lt;&gt;"",$B3,"")</f>
        <v>216</v>
      </c>
      <c r="D18" s="42">
        <f>IF(Setup!B25&lt;&gt;"",Attendance_Dec!O39,"")</f>
        <v>0</v>
      </c>
      <c r="E18" s="41">
        <f>IF(Setup!B25&lt;&gt;"",Attendance_Dec!O40,"")</f>
        <v>0</v>
      </c>
      <c r="F18" s="43">
        <f>IFERROR(IF(Setup!B25&lt;&gt;"",B18/C18,""),"")</f>
        <v>46.296296296296298</v>
      </c>
      <c r="G18" s="42">
        <f>IF(Setup!B25&lt;&gt;"",MIN(D18,C18),"")</f>
        <v>0</v>
      </c>
      <c r="H18" s="42">
        <f>IF(Setup!B25&lt;&gt;"",MAX(D18-C18,0),"")</f>
        <v>0</v>
      </c>
      <c r="I18" s="16">
        <f>IF(Setup!B25&lt;&gt;"",F18*G18,"")</f>
        <v>0</v>
      </c>
      <c r="J18" s="16">
        <f>IF(Setup!B25&lt;&gt;"",F18*H18*$B4,"")</f>
        <v>0</v>
      </c>
      <c r="K18" s="16">
        <f>IF(Setup!B25&lt;&gt;"",IF(E18=0,$B5,0),"")</f>
        <v>0</v>
      </c>
      <c r="L18" s="44">
        <f>IF(Setup!B25&lt;&gt;"",I18+J18+K18,"")</f>
        <v>0</v>
      </c>
      <c r="M18" s="16">
        <f>IF(Setup!B25&lt;&gt;"",Payroll_Nov!P18,"")</f>
        <v>0</v>
      </c>
      <c r="N18" s="46">
        <v>0</v>
      </c>
      <c r="O18" s="46">
        <v>0</v>
      </c>
      <c r="P18" s="44">
        <f>IF(Setup!B25&lt;&gt;"",M18+N18-O18,"")</f>
        <v>0</v>
      </c>
      <c r="Q18" s="46">
        <v>0</v>
      </c>
      <c r="R18" s="47">
        <f>IF(Setup!B25&lt;&gt;"",L18-O18-Q18,"")</f>
        <v>0</v>
      </c>
    </row>
    <row r="19" spans="1:18" ht="21.75" customHeight="1" x14ac:dyDescent="0.3">
      <c r="A19" s="18" t="str">
        <f>Setup!B26</f>
        <v>Factory rent</v>
      </c>
      <c r="B19" s="48">
        <f>IF(Setup!B26&lt;&gt;"",Setup!C26,"")</f>
        <v>77000</v>
      </c>
      <c r="C19" s="49">
        <f>IF(Setup!B26&lt;&gt;"",$B3,"")</f>
        <v>216</v>
      </c>
      <c r="D19" s="50">
        <f>IF(Setup!B26&lt;&gt;"",Attendance_Dec!P39,"")</f>
        <v>0</v>
      </c>
      <c r="E19" s="49">
        <f>IF(Setup!B26&lt;&gt;"",Attendance_Dec!P40,"")</f>
        <v>0</v>
      </c>
      <c r="F19" s="51">
        <f>IFERROR(IF(Setup!B26&lt;&gt;"",B19/C19,""),"")</f>
        <v>356.48148148148147</v>
      </c>
      <c r="G19" s="50">
        <f>IF(Setup!B26&lt;&gt;"",MIN(D19,C19),"")</f>
        <v>0</v>
      </c>
      <c r="H19" s="50">
        <f>IF(Setup!B26&lt;&gt;"",MAX(D19-C19,0),"")</f>
        <v>0</v>
      </c>
      <c r="I19" s="19">
        <f>IF(Setup!B26&lt;&gt;"",F19*G19,"")</f>
        <v>0</v>
      </c>
      <c r="J19" s="19">
        <f>IF(Setup!B26&lt;&gt;"",F19*H19*$B4,"")</f>
        <v>0</v>
      </c>
      <c r="K19" s="19">
        <f>IF(Setup!B26&lt;&gt;"",IF(E19=0,$B5,0),"")</f>
        <v>0</v>
      </c>
      <c r="L19" s="52">
        <f>IF(Setup!B26&lt;&gt;"",I19+J19+K19,"")</f>
        <v>0</v>
      </c>
      <c r="M19" s="19">
        <f>IF(Setup!B26&lt;&gt;"",Payroll_Nov!P19,"")</f>
        <v>0</v>
      </c>
      <c r="N19" s="46">
        <v>0</v>
      </c>
      <c r="O19" s="46">
        <v>0</v>
      </c>
      <c r="P19" s="52">
        <f>IF(Setup!B26&lt;&gt;"",M19+N19-O19,"")</f>
        <v>0</v>
      </c>
      <c r="Q19" s="46">
        <v>0</v>
      </c>
      <c r="R19" s="47">
        <f>IF(Setup!B26&lt;&gt;"",L19-O19-Q19,"")</f>
        <v>0</v>
      </c>
    </row>
    <row r="20" spans="1:18" ht="21.75" customHeight="1" x14ac:dyDescent="0.3">
      <c r="A20" s="1" t="str">
        <f>Setup!B27</f>
        <v>Internet bill</v>
      </c>
      <c r="B20" s="40">
        <f>IF(Setup!B27&lt;&gt;"",Setup!C27,"")</f>
        <v>2500</v>
      </c>
      <c r="C20" s="41">
        <f>IF(Setup!B27&lt;&gt;"",$B3,"")</f>
        <v>216</v>
      </c>
      <c r="D20" s="42">
        <f>IF(Setup!B27&lt;&gt;"",Attendance_Dec!Q39,"")</f>
        <v>0</v>
      </c>
      <c r="E20" s="41">
        <f>IF(Setup!B27&lt;&gt;"",Attendance_Dec!Q40,"")</f>
        <v>0</v>
      </c>
      <c r="F20" s="43">
        <f>IFERROR(IF(Setup!B27&lt;&gt;"",B20/C20,""),"")</f>
        <v>11.574074074074074</v>
      </c>
      <c r="G20" s="42">
        <f>IF(Setup!B27&lt;&gt;"",MIN(D20,C20),"")</f>
        <v>0</v>
      </c>
      <c r="H20" s="42">
        <f>IF(Setup!B27&lt;&gt;"",MAX(D20-C20,0),"")</f>
        <v>0</v>
      </c>
      <c r="I20" s="16">
        <f>IF(Setup!B27&lt;&gt;"",F20*G20,"")</f>
        <v>0</v>
      </c>
      <c r="J20" s="16">
        <f>IF(Setup!B27&lt;&gt;"",F20*H20*$B4,"")</f>
        <v>0</v>
      </c>
      <c r="K20" s="16">
        <f>IF(Setup!B27&lt;&gt;"",IF(E20=0,$B5,0),"")</f>
        <v>0</v>
      </c>
      <c r="L20" s="44">
        <f>IF(Setup!B27&lt;&gt;"",I20+J20+K20,"")</f>
        <v>0</v>
      </c>
      <c r="M20" s="16">
        <f>IF(Setup!B27&lt;&gt;"",Payroll_Nov!P20,"")</f>
        <v>0</v>
      </c>
      <c r="N20" s="46">
        <v>0</v>
      </c>
      <c r="O20" s="46">
        <v>0</v>
      </c>
      <c r="P20" s="44">
        <f>IF(Setup!B27&lt;&gt;"",M20+N20-O20,"")</f>
        <v>0</v>
      </c>
      <c r="Q20" s="46">
        <v>0</v>
      </c>
      <c r="R20" s="47">
        <f>IF(Setup!B27&lt;&gt;"",L20-O20-Q20,"")</f>
        <v>0</v>
      </c>
    </row>
    <row r="21" spans="1:18" ht="21.75" customHeight="1" x14ac:dyDescent="0.3">
      <c r="A21" s="18" t="str">
        <f>Setup!B28</f>
        <v>Saqab</v>
      </c>
      <c r="B21" s="48">
        <f>IF(Setup!B28&lt;&gt;"",Setup!C28,"")</f>
        <v>25000</v>
      </c>
      <c r="C21" s="49">
        <f>IF(Setup!B28&lt;&gt;"",$B3,"")</f>
        <v>216</v>
      </c>
      <c r="D21" s="50">
        <f>IF(Setup!B28&lt;&gt;"",Attendance_Dec!R39,"")</f>
        <v>0</v>
      </c>
      <c r="E21" s="49">
        <f>IF(Setup!B28&lt;&gt;"",Attendance_Dec!R40,"")</f>
        <v>0</v>
      </c>
      <c r="F21" s="51">
        <f>IFERROR(IF(Setup!B28&lt;&gt;"",B21/C21,""),"")</f>
        <v>115.74074074074075</v>
      </c>
      <c r="G21" s="50">
        <f>IF(Setup!B28&lt;&gt;"",MIN(D21,C21),"")</f>
        <v>0</v>
      </c>
      <c r="H21" s="50">
        <f>IF(Setup!B28&lt;&gt;"",MAX(D21-C21,0),"")</f>
        <v>0</v>
      </c>
      <c r="I21" s="19">
        <f>IF(Setup!B28&lt;&gt;"",F21*G21,"")</f>
        <v>0</v>
      </c>
      <c r="J21" s="19">
        <f>IF(Setup!B28&lt;&gt;"",F21*H21*$B4,"")</f>
        <v>0</v>
      </c>
      <c r="K21" s="19">
        <f>IF(Setup!B28&lt;&gt;"",IF(E21=0,$B5,0),"")</f>
        <v>0</v>
      </c>
      <c r="L21" s="52">
        <f>IF(Setup!B28&lt;&gt;"",I21+J21+K21,"")</f>
        <v>0</v>
      </c>
      <c r="M21" s="19">
        <f>IF(Setup!B28&lt;&gt;"",Payroll_Nov!P21,"")</f>
        <v>0</v>
      </c>
      <c r="N21" s="46">
        <v>0</v>
      </c>
      <c r="O21" s="46">
        <v>0</v>
      </c>
      <c r="P21" s="52">
        <f>IF(Setup!B28&lt;&gt;"",M21+N21-O21,"")</f>
        <v>0</v>
      </c>
      <c r="Q21" s="46">
        <v>0</v>
      </c>
      <c r="R21" s="47">
        <f>IF(Setup!B28&lt;&gt;"",L21-O21-Q21,"")</f>
        <v>0</v>
      </c>
    </row>
    <row r="22" spans="1:18" ht="21.75" customHeight="1" x14ac:dyDescent="0.3">
      <c r="A22" s="1">
        <f>Setup!B29</f>
        <v>0</v>
      </c>
      <c r="B22" s="40" t="str">
        <f>IF(Setup!B29&lt;&gt;"",Setup!C29,"")</f>
        <v/>
      </c>
      <c r="C22" s="41" t="str">
        <f>IF(Setup!B29&lt;&gt;"",$B3,"")</f>
        <v/>
      </c>
      <c r="D22" s="42" t="str">
        <f>IF(Setup!B29&lt;&gt;"",Attendance_Dec!S39,"")</f>
        <v/>
      </c>
      <c r="E22" s="41" t="str">
        <f>IF(Setup!B29&lt;&gt;"",Attendance_Dec!S40,"")</f>
        <v/>
      </c>
      <c r="F22" s="43" t="str">
        <f>IFERROR(IF(Setup!B29&lt;&gt;"",B22/C22,""),"")</f>
        <v/>
      </c>
      <c r="G22" s="42" t="str">
        <f>IF(Setup!B29&lt;&gt;"",MIN(D22,C22),"")</f>
        <v/>
      </c>
      <c r="H22" s="42" t="str">
        <f>IF(Setup!B29&lt;&gt;"",MAX(D22-C22,0),"")</f>
        <v/>
      </c>
      <c r="I22" s="16" t="str">
        <f>IF(Setup!B29&lt;&gt;"",F22*G22,"")</f>
        <v/>
      </c>
      <c r="J22" s="16" t="str">
        <f>IF(Setup!B29&lt;&gt;"",F22*H22*$B4,"")</f>
        <v/>
      </c>
      <c r="K22" s="16" t="str">
        <f>IF(Setup!B29&lt;&gt;"",IF(E22=0,$B5,0),"")</f>
        <v/>
      </c>
      <c r="L22" s="44" t="str">
        <f>IF(Setup!B29&lt;&gt;"",I22+J22+K22,"")</f>
        <v/>
      </c>
      <c r="M22" s="16" t="str">
        <f>IF(Setup!B29&lt;&gt;"",Payroll_Nov!P22,"")</f>
        <v/>
      </c>
      <c r="N22" s="46">
        <v>0</v>
      </c>
      <c r="O22" s="46">
        <v>0</v>
      </c>
      <c r="P22" s="44" t="str">
        <f>IF(Setup!B29&lt;&gt;"",M22+N22-O22,"")</f>
        <v/>
      </c>
      <c r="Q22" s="46">
        <v>0</v>
      </c>
      <c r="R22" s="47" t="str">
        <f>IF(Setup!B29&lt;&gt;"",L22-O22-Q22,"")</f>
        <v/>
      </c>
    </row>
    <row r="23" spans="1:18" ht="21.75" customHeight="1" x14ac:dyDescent="0.3">
      <c r="A23" s="18">
        <f>Setup!B30</f>
        <v>0</v>
      </c>
      <c r="B23" s="48" t="str">
        <f>IF(Setup!B30&lt;&gt;"",Setup!C30,"")</f>
        <v/>
      </c>
      <c r="C23" s="49" t="str">
        <f>IF(Setup!B30&lt;&gt;"",$B3,"")</f>
        <v/>
      </c>
      <c r="D23" s="50" t="str">
        <f>IF(Setup!B30&lt;&gt;"",Attendance_Dec!T39,"")</f>
        <v/>
      </c>
      <c r="E23" s="49" t="str">
        <f>IF(Setup!B30&lt;&gt;"",Attendance_Dec!T40,"")</f>
        <v/>
      </c>
      <c r="F23" s="51" t="str">
        <f>IFERROR(IF(Setup!B30&lt;&gt;"",B23/C23,""),"")</f>
        <v/>
      </c>
      <c r="G23" s="50" t="str">
        <f>IF(Setup!B30&lt;&gt;"",MIN(D23,C23),"")</f>
        <v/>
      </c>
      <c r="H23" s="50" t="str">
        <f>IF(Setup!B30&lt;&gt;"",MAX(D23-C23,0),"")</f>
        <v/>
      </c>
      <c r="I23" s="19" t="str">
        <f>IF(Setup!B30&lt;&gt;"",F23*G23,"")</f>
        <v/>
      </c>
      <c r="J23" s="19" t="str">
        <f>IF(Setup!B30&lt;&gt;"",F23*H23*$B4,"")</f>
        <v/>
      </c>
      <c r="K23" s="19" t="str">
        <f>IF(Setup!B30&lt;&gt;"",IF(E23=0,$B5,0),"")</f>
        <v/>
      </c>
      <c r="L23" s="52" t="str">
        <f>IF(Setup!B30&lt;&gt;"",I23+J23+K23,"")</f>
        <v/>
      </c>
      <c r="M23" s="19" t="str">
        <f>IF(Setup!B30&lt;&gt;"",Payroll_Nov!P23,"")</f>
        <v/>
      </c>
      <c r="N23" s="46">
        <v>0</v>
      </c>
      <c r="O23" s="46">
        <v>0</v>
      </c>
      <c r="P23" s="52" t="str">
        <f>IF(Setup!B30&lt;&gt;"",M23+N23-O23,"")</f>
        <v/>
      </c>
      <c r="Q23" s="46">
        <v>0</v>
      </c>
      <c r="R23" s="47" t="str">
        <f>IF(Setup!B30&lt;&gt;"",L23-O23-Q23,"")</f>
        <v/>
      </c>
    </row>
    <row r="24" spans="1:18" ht="21.75" customHeight="1" x14ac:dyDescent="0.3">
      <c r="A24" s="1">
        <f>Setup!B31</f>
        <v>0</v>
      </c>
      <c r="B24" s="40" t="str">
        <f>IF(Setup!B31&lt;&gt;"",Setup!C31,"")</f>
        <v/>
      </c>
      <c r="C24" s="41" t="str">
        <f>IF(Setup!B31&lt;&gt;"",$B3,"")</f>
        <v/>
      </c>
      <c r="D24" s="42" t="str">
        <f>IF(Setup!B31&lt;&gt;"",Attendance_Dec!U39,"")</f>
        <v/>
      </c>
      <c r="E24" s="41" t="str">
        <f>IF(Setup!B31&lt;&gt;"",Attendance_Dec!U40,"")</f>
        <v/>
      </c>
      <c r="F24" s="43" t="str">
        <f>IFERROR(IF(Setup!B31&lt;&gt;"",B24/C24,""),"")</f>
        <v/>
      </c>
      <c r="G24" s="42" t="str">
        <f>IF(Setup!B31&lt;&gt;"",MIN(D24,C24),"")</f>
        <v/>
      </c>
      <c r="H24" s="42" t="str">
        <f>IF(Setup!B31&lt;&gt;"",MAX(D24-C24,0),"")</f>
        <v/>
      </c>
      <c r="I24" s="16" t="str">
        <f>IF(Setup!B31&lt;&gt;"",F24*G24,"")</f>
        <v/>
      </c>
      <c r="J24" s="16" t="str">
        <f>IF(Setup!B31&lt;&gt;"",F24*H24*$B4,"")</f>
        <v/>
      </c>
      <c r="K24" s="16" t="str">
        <f>IF(Setup!B31&lt;&gt;"",IF(E24=0,$B5,0),"")</f>
        <v/>
      </c>
      <c r="L24" s="44" t="str">
        <f>IF(Setup!B31&lt;&gt;"",I24+J24+K24,"")</f>
        <v/>
      </c>
      <c r="M24" s="16" t="str">
        <f>IF(Setup!B31&lt;&gt;"",Payroll_Nov!P24,"")</f>
        <v/>
      </c>
      <c r="N24" s="46">
        <v>0</v>
      </c>
      <c r="O24" s="46">
        <v>0</v>
      </c>
      <c r="P24" s="44" t="str">
        <f>IF(Setup!B31&lt;&gt;"",M24+N24-O24,"")</f>
        <v/>
      </c>
      <c r="Q24" s="46">
        <v>0</v>
      </c>
      <c r="R24" s="47" t="str">
        <f>IF(Setup!B31&lt;&gt;"",L24-O24-Q24,"")</f>
        <v/>
      </c>
    </row>
    <row r="25" spans="1:18" ht="21.75" customHeight="1" x14ac:dyDescent="0.3">
      <c r="A25" s="18">
        <f>Setup!B32</f>
        <v>0</v>
      </c>
      <c r="B25" s="48" t="str">
        <f>IF(Setup!B32&lt;&gt;"",Setup!C32,"")</f>
        <v/>
      </c>
      <c r="C25" s="49" t="str">
        <f>IF(Setup!B32&lt;&gt;"",$B3,"")</f>
        <v/>
      </c>
      <c r="D25" s="50" t="str">
        <f>IF(Setup!B32&lt;&gt;"",Attendance_Dec!V39,"")</f>
        <v/>
      </c>
      <c r="E25" s="49" t="str">
        <f>IF(Setup!B32&lt;&gt;"",Attendance_Dec!V40,"")</f>
        <v/>
      </c>
      <c r="F25" s="51" t="str">
        <f>IFERROR(IF(Setup!B32&lt;&gt;"",B25/C25,""),"")</f>
        <v/>
      </c>
      <c r="G25" s="50" t="str">
        <f>IF(Setup!B32&lt;&gt;"",MIN(D25,C25),"")</f>
        <v/>
      </c>
      <c r="H25" s="50" t="str">
        <f>IF(Setup!B32&lt;&gt;"",MAX(D25-C25,0),"")</f>
        <v/>
      </c>
      <c r="I25" s="19" t="str">
        <f>IF(Setup!B32&lt;&gt;"",F25*G25,"")</f>
        <v/>
      </c>
      <c r="J25" s="19" t="str">
        <f>IF(Setup!B32&lt;&gt;"",F25*H25*$B4,"")</f>
        <v/>
      </c>
      <c r="K25" s="19" t="str">
        <f>IF(Setup!B32&lt;&gt;"",IF(E25=0,$B5,0),"")</f>
        <v/>
      </c>
      <c r="L25" s="52" t="str">
        <f>IF(Setup!B32&lt;&gt;"",I25+J25+K25,"")</f>
        <v/>
      </c>
      <c r="M25" s="19" t="str">
        <f>IF(Setup!B32&lt;&gt;"",Payroll_Nov!P25,"")</f>
        <v/>
      </c>
      <c r="N25" s="46">
        <v>0</v>
      </c>
      <c r="O25" s="46">
        <v>0</v>
      </c>
      <c r="P25" s="52" t="str">
        <f>IF(Setup!B32&lt;&gt;"",M25+N25-O25,"")</f>
        <v/>
      </c>
      <c r="Q25" s="46">
        <v>0</v>
      </c>
      <c r="R25" s="47" t="str">
        <f>IF(Setup!B32&lt;&gt;"",L25-O25-Q25,"")</f>
        <v/>
      </c>
    </row>
    <row r="26" spans="1:18" ht="21.75" customHeight="1" x14ac:dyDescent="0.3">
      <c r="A26" s="1">
        <f>Setup!B33</f>
        <v>0</v>
      </c>
      <c r="B26" s="40" t="str">
        <f>IF(Setup!B33&lt;&gt;"",Setup!C33,"")</f>
        <v/>
      </c>
      <c r="C26" s="41" t="str">
        <f>IF(Setup!B33&lt;&gt;"",$B3,"")</f>
        <v/>
      </c>
      <c r="D26" s="42" t="str">
        <f>IF(Setup!B33&lt;&gt;"",Attendance_Dec!W39,"")</f>
        <v/>
      </c>
      <c r="E26" s="41" t="str">
        <f>IF(Setup!B33&lt;&gt;"",Attendance_Dec!W40,"")</f>
        <v/>
      </c>
      <c r="F26" s="43" t="str">
        <f>IFERROR(IF(Setup!B33&lt;&gt;"",B26/C26,""),"")</f>
        <v/>
      </c>
      <c r="G26" s="42" t="str">
        <f>IF(Setup!B33&lt;&gt;"",MIN(D26,C26),"")</f>
        <v/>
      </c>
      <c r="H26" s="42" t="str">
        <f>IF(Setup!B33&lt;&gt;"",MAX(D26-C26,0),"")</f>
        <v/>
      </c>
      <c r="I26" s="16" t="str">
        <f>IF(Setup!B33&lt;&gt;"",F26*G26,"")</f>
        <v/>
      </c>
      <c r="J26" s="16" t="str">
        <f>IF(Setup!B33&lt;&gt;"",F26*H26*$B4,"")</f>
        <v/>
      </c>
      <c r="K26" s="16" t="str">
        <f>IF(Setup!B33&lt;&gt;"",IF(E26=0,$B5,0),"")</f>
        <v/>
      </c>
      <c r="L26" s="44" t="str">
        <f>IF(Setup!B33&lt;&gt;"",I26+J26+K26,"")</f>
        <v/>
      </c>
      <c r="M26" s="16" t="str">
        <f>IF(Setup!B33&lt;&gt;"",Payroll_Nov!P26,"")</f>
        <v/>
      </c>
      <c r="N26" s="46">
        <v>0</v>
      </c>
      <c r="O26" s="46">
        <v>0</v>
      </c>
      <c r="P26" s="44" t="str">
        <f>IF(Setup!B33&lt;&gt;"",M26+N26-O26,"")</f>
        <v/>
      </c>
      <c r="Q26" s="46">
        <v>0</v>
      </c>
      <c r="R26" s="47" t="str">
        <f>IF(Setup!B33&lt;&gt;"",L26-O26-Q26,"")</f>
        <v/>
      </c>
    </row>
    <row r="27" spans="1:18" ht="21.75" customHeight="1" x14ac:dyDescent="0.3">
      <c r="A27" s="18">
        <f>Setup!B34</f>
        <v>0</v>
      </c>
      <c r="B27" s="48" t="str">
        <f>IF(Setup!B34&lt;&gt;"",Setup!C34,"")</f>
        <v/>
      </c>
      <c r="C27" s="49" t="str">
        <f>IF(Setup!B34&lt;&gt;"",$B3,"")</f>
        <v/>
      </c>
      <c r="D27" s="50" t="str">
        <f>IF(Setup!B34&lt;&gt;"",Attendance_Dec!X39,"")</f>
        <v/>
      </c>
      <c r="E27" s="49" t="str">
        <f>IF(Setup!B34&lt;&gt;"",Attendance_Dec!X40,"")</f>
        <v/>
      </c>
      <c r="F27" s="51" t="str">
        <f>IFERROR(IF(Setup!B34&lt;&gt;"",B27/C27,""),"")</f>
        <v/>
      </c>
      <c r="G27" s="50" t="str">
        <f>IF(Setup!B34&lt;&gt;"",MIN(D27,C27),"")</f>
        <v/>
      </c>
      <c r="H27" s="50" t="str">
        <f>IF(Setup!B34&lt;&gt;"",MAX(D27-C27,0),"")</f>
        <v/>
      </c>
      <c r="I27" s="19" t="str">
        <f>IF(Setup!B34&lt;&gt;"",F27*G27,"")</f>
        <v/>
      </c>
      <c r="J27" s="19" t="str">
        <f>IF(Setup!B34&lt;&gt;"",F27*H27*$B4,"")</f>
        <v/>
      </c>
      <c r="K27" s="19" t="str">
        <f>IF(Setup!B34&lt;&gt;"",IF(E27=0,$B5,0),"")</f>
        <v/>
      </c>
      <c r="L27" s="52" t="str">
        <f>IF(Setup!B34&lt;&gt;"",I27+J27+K27,"")</f>
        <v/>
      </c>
      <c r="M27" s="19" t="str">
        <f>IF(Setup!B34&lt;&gt;"",Payroll_Nov!P27,"")</f>
        <v/>
      </c>
      <c r="N27" s="46">
        <v>0</v>
      </c>
      <c r="O27" s="46">
        <v>0</v>
      </c>
      <c r="P27" s="52" t="str">
        <f>IF(Setup!B34&lt;&gt;"",M27+N27-O27,"")</f>
        <v/>
      </c>
      <c r="Q27" s="46">
        <v>0</v>
      </c>
      <c r="R27" s="47" t="str">
        <f>IF(Setup!B34&lt;&gt;"",L27-O27-Q27,"")</f>
        <v/>
      </c>
    </row>
    <row r="28" spans="1:18" ht="21.75" customHeight="1" x14ac:dyDescent="0.3">
      <c r="A28" s="1">
        <f>Setup!B35</f>
        <v>0</v>
      </c>
      <c r="B28" s="40" t="str">
        <f>IF(Setup!B35&lt;&gt;"",Setup!C35,"")</f>
        <v/>
      </c>
      <c r="C28" s="41" t="str">
        <f>IF(Setup!B35&lt;&gt;"",$B3,"")</f>
        <v/>
      </c>
      <c r="D28" s="42" t="str">
        <f>IF(Setup!B35&lt;&gt;"",Attendance_Dec!Y39,"")</f>
        <v/>
      </c>
      <c r="E28" s="41" t="str">
        <f>IF(Setup!B35&lt;&gt;"",Attendance_Dec!Y40,"")</f>
        <v/>
      </c>
      <c r="F28" s="43" t="str">
        <f>IFERROR(IF(Setup!B35&lt;&gt;"",B28/C28,""),"")</f>
        <v/>
      </c>
      <c r="G28" s="42" t="str">
        <f>IF(Setup!B35&lt;&gt;"",MIN(D28,C28),"")</f>
        <v/>
      </c>
      <c r="H28" s="42" t="str">
        <f>IF(Setup!B35&lt;&gt;"",MAX(D28-C28,0),"")</f>
        <v/>
      </c>
      <c r="I28" s="16" t="str">
        <f>IF(Setup!B35&lt;&gt;"",F28*G28,"")</f>
        <v/>
      </c>
      <c r="J28" s="16" t="str">
        <f>IF(Setup!B35&lt;&gt;"",F28*H28*$B4,"")</f>
        <v/>
      </c>
      <c r="K28" s="16" t="str">
        <f>IF(Setup!B35&lt;&gt;"",IF(E28=0,$B5,0),"")</f>
        <v/>
      </c>
      <c r="L28" s="44" t="str">
        <f>IF(Setup!B35&lt;&gt;"",I28+J28+K28,"")</f>
        <v/>
      </c>
      <c r="M28" s="16" t="str">
        <f>IF(Setup!B35&lt;&gt;"",Payroll_Nov!P28,"")</f>
        <v/>
      </c>
      <c r="N28" s="46">
        <v>0</v>
      </c>
      <c r="O28" s="46">
        <v>0</v>
      </c>
      <c r="P28" s="44" t="str">
        <f>IF(Setup!B35&lt;&gt;"",M28+N28-O28,"")</f>
        <v/>
      </c>
      <c r="Q28" s="46">
        <v>0</v>
      </c>
      <c r="R28" s="47" t="str">
        <f>IF(Setup!B35&lt;&gt;"",L28-O28-Q28,"")</f>
        <v/>
      </c>
    </row>
    <row r="29" spans="1:18" ht="21.75" customHeight="1" x14ac:dyDescent="0.3">
      <c r="A29" s="18">
        <f>Setup!B36</f>
        <v>0</v>
      </c>
      <c r="B29" s="48" t="str">
        <f>IF(Setup!B36&lt;&gt;"",Setup!C36,"")</f>
        <v/>
      </c>
      <c r="C29" s="49" t="str">
        <f>IF(Setup!B36&lt;&gt;"",$B3,"")</f>
        <v/>
      </c>
      <c r="D29" s="50" t="str">
        <f>IF(Setup!B36&lt;&gt;"",Attendance_Dec!Z39,"")</f>
        <v/>
      </c>
      <c r="E29" s="49" t="str">
        <f>IF(Setup!B36&lt;&gt;"",Attendance_Dec!Z40,"")</f>
        <v/>
      </c>
      <c r="F29" s="51" t="str">
        <f>IFERROR(IF(Setup!B36&lt;&gt;"",B29/C29,""),"")</f>
        <v/>
      </c>
      <c r="G29" s="50" t="str">
        <f>IF(Setup!B36&lt;&gt;"",MIN(D29,C29),"")</f>
        <v/>
      </c>
      <c r="H29" s="50" t="str">
        <f>IF(Setup!B36&lt;&gt;"",MAX(D29-C29,0),"")</f>
        <v/>
      </c>
      <c r="I29" s="19" t="str">
        <f>IF(Setup!B36&lt;&gt;"",F29*G29,"")</f>
        <v/>
      </c>
      <c r="J29" s="19" t="str">
        <f>IF(Setup!B36&lt;&gt;"",F29*H29*$B4,"")</f>
        <v/>
      </c>
      <c r="K29" s="19" t="str">
        <f>IF(Setup!B36&lt;&gt;"",IF(E29=0,$B5,0),"")</f>
        <v/>
      </c>
      <c r="L29" s="52" t="str">
        <f>IF(Setup!B36&lt;&gt;"",I29+J29+K29,"")</f>
        <v/>
      </c>
      <c r="M29" s="19" t="str">
        <f>IF(Setup!B36&lt;&gt;"",Payroll_Nov!P29,"")</f>
        <v/>
      </c>
      <c r="N29" s="46">
        <v>0</v>
      </c>
      <c r="O29" s="46">
        <v>0</v>
      </c>
      <c r="P29" s="52" t="str">
        <f>IF(Setup!B36&lt;&gt;"",M29+N29-O29,"")</f>
        <v/>
      </c>
      <c r="Q29" s="46">
        <v>0</v>
      </c>
      <c r="R29" s="47" t="str">
        <f>IF(Setup!B36&lt;&gt;"",L29-O29-Q29,"")</f>
        <v/>
      </c>
    </row>
    <row r="30" spans="1:18" ht="21.75" customHeight="1" x14ac:dyDescent="0.3">
      <c r="A30" s="1">
        <f>Setup!B37</f>
        <v>0</v>
      </c>
      <c r="B30" s="40" t="str">
        <f>IF(Setup!B37&lt;&gt;"",Setup!C37,"")</f>
        <v/>
      </c>
      <c r="C30" s="41" t="str">
        <f>IF(Setup!B37&lt;&gt;"",$B3,"")</f>
        <v/>
      </c>
      <c r="D30" s="42" t="str">
        <f>IF(Setup!B37&lt;&gt;"",Attendance_Dec!AA39,"")</f>
        <v/>
      </c>
      <c r="E30" s="41" t="str">
        <f>IF(Setup!B37&lt;&gt;"",Attendance_Dec!AA40,"")</f>
        <v/>
      </c>
      <c r="F30" s="43" t="str">
        <f>IFERROR(IF(Setup!B37&lt;&gt;"",B30/C30,""),"")</f>
        <v/>
      </c>
      <c r="G30" s="42" t="str">
        <f>IF(Setup!B37&lt;&gt;"",MIN(D30,C30),"")</f>
        <v/>
      </c>
      <c r="H30" s="42" t="str">
        <f>IF(Setup!B37&lt;&gt;"",MAX(D30-C30,0),"")</f>
        <v/>
      </c>
      <c r="I30" s="16" t="str">
        <f>IF(Setup!B37&lt;&gt;"",F30*G30,"")</f>
        <v/>
      </c>
      <c r="J30" s="16" t="str">
        <f>IF(Setup!B37&lt;&gt;"",F30*H30*$B4,"")</f>
        <v/>
      </c>
      <c r="K30" s="16" t="str">
        <f>IF(Setup!B37&lt;&gt;"",IF(E30=0,$B5,0),"")</f>
        <v/>
      </c>
      <c r="L30" s="44" t="str">
        <f>IF(Setup!B37&lt;&gt;"",I30+J30+K30,"")</f>
        <v/>
      </c>
      <c r="M30" s="16" t="str">
        <f>IF(Setup!B37&lt;&gt;"",Payroll_Nov!P30,"")</f>
        <v/>
      </c>
      <c r="N30" s="46">
        <v>0</v>
      </c>
      <c r="O30" s="46">
        <v>0</v>
      </c>
      <c r="P30" s="44" t="str">
        <f>IF(Setup!B37&lt;&gt;"",M30+N30-O30,"")</f>
        <v/>
      </c>
      <c r="Q30" s="46">
        <v>0</v>
      </c>
      <c r="R30" s="47" t="str">
        <f>IF(Setup!B37&lt;&gt;"",L30-O30-Q30,"")</f>
        <v/>
      </c>
    </row>
    <row r="31" spans="1:18" ht="21.75" customHeight="1" x14ac:dyDescent="0.3">
      <c r="A31" s="18">
        <f>Setup!B38</f>
        <v>0</v>
      </c>
      <c r="B31" s="48" t="str">
        <f>IF(Setup!B38&lt;&gt;"",Setup!C38,"")</f>
        <v/>
      </c>
      <c r="C31" s="49" t="str">
        <f>IF(Setup!B38&lt;&gt;"",$B3,"")</f>
        <v/>
      </c>
      <c r="D31" s="50" t="str">
        <f>IF(Setup!B38&lt;&gt;"",Attendance_Dec!AB39,"")</f>
        <v/>
      </c>
      <c r="E31" s="49" t="str">
        <f>IF(Setup!B38&lt;&gt;"",Attendance_Dec!AB40,"")</f>
        <v/>
      </c>
      <c r="F31" s="51" t="str">
        <f>IFERROR(IF(Setup!B38&lt;&gt;"",B31/C31,""),"")</f>
        <v/>
      </c>
      <c r="G31" s="50" t="str">
        <f>IF(Setup!B38&lt;&gt;"",MIN(D31,C31),"")</f>
        <v/>
      </c>
      <c r="H31" s="50" t="str">
        <f>IF(Setup!B38&lt;&gt;"",MAX(D31-C31,0),"")</f>
        <v/>
      </c>
      <c r="I31" s="19" t="str">
        <f>IF(Setup!B38&lt;&gt;"",F31*G31,"")</f>
        <v/>
      </c>
      <c r="J31" s="19" t="str">
        <f>IF(Setup!B38&lt;&gt;"",F31*H31*$B4,"")</f>
        <v/>
      </c>
      <c r="K31" s="19" t="str">
        <f>IF(Setup!B38&lt;&gt;"",IF(E31=0,$B5,0),"")</f>
        <v/>
      </c>
      <c r="L31" s="52" t="str">
        <f>IF(Setup!B38&lt;&gt;"",I31+J31+K31,"")</f>
        <v/>
      </c>
      <c r="M31" s="19" t="str">
        <f>IF(Setup!B38&lt;&gt;"",Payroll_Nov!P31,"")</f>
        <v/>
      </c>
      <c r="N31" s="46">
        <v>0</v>
      </c>
      <c r="O31" s="46">
        <v>0</v>
      </c>
      <c r="P31" s="52" t="str">
        <f>IF(Setup!B38&lt;&gt;"",M31+N31-O31,"")</f>
        <v/>
      </c>
      <c r="Q31" s="46">
        <v>0</v>
      </c>
      <c r="R31" s="47" t="str">
        <f>IF(Setup!B38&lt;&gt;"",L31-O31-Q31,"")</f>
        <v/>
      </c>
    </row>
    <row r="32" spans="1:18" ht="21.75" customHeight="1" x14ac:dyDescent="0.3">
      <c r="A32" s="1">
        <f>Setup!B39</f>
        <v>0</v>
      </c>
      <c r="B32" s="40" t="str">
        <f>IF(Setup!B39&lt;&gt;"",Setup!C39,"")</f>
        <v/>
      </c>
      <c r="C32" s="41" t="str">
        <f>IF(Setup!B39&lt;&gt;"",$B3,"")</f>
        <v/>
      </c>
      <c r="D32" s="42" t="str">
        <f>IF(Setup!B39&lt;&gt;"",Attendance_Dec!AC39,"")</f>
        <v/>
      </c>
      <c r="E32" s="41" t="str">
        <f>IF(Setup!B39&lt;&gt;"",Attendance_Dec!AC40,"")</f>
        <v/>
      </c>
      <c r="F32" s="43" t="str">
        <f>IFERROR(IF(Setup!B39&lt;&gt;"",B32/C32,""),"")</f>
        <v/>
      </c>
      <c r="G32" s="42" t="str">
        <f>IF(Setup!B39&lt;&gt;"",MIN(D32,C32),"")</f>
        <v/>
      </c>
      <c r="H32" s="42" t="str">
        <f>IF(Setup!B39&lt;&gt;"",MAX(D32-C32,0),"")</f>
        <v/>
      </c>
      <c r="I32" s="16" t="str">
        <f>IF(Setup!B39&lt;&gt;"",F32*G32,"")</f>
        <v/>
      </c>
      <c r="J32" s="16" t="str">
        <f>IF(Setup!B39&lt;&gt;"",F32*H32*$B4,"")</f>
        <v/>
      </c>
      <c r="K32" s="16" t="str">
        <f>IF(Setup!B39&lt;&gt;"",IF(E32=0,$B5,0),"")</f>
        <v/>
      </c>
      <c r="L32" s="44" t="str">
        <f>IF(Setup!B39&lt;&gt;"",I32+J32+K32,"")</f>
        <v/>
      </c>
      <c r="M32" s="16" t="str">
        <f>IF(Setup!B39&lt;&gt;"",Payroll_Nov!P32,"")</f>
        <v/>
      </c>
      <c r="N32" s="46">
        <v>0</v>
      </c>
      <c r="O32" s="46">
        <v>0</v>
      </c>
      <c r="P32" s="44" t="str">
        <f>IF(Setup!B39&lt;&gt;"",M32+N32-O32,"")</f>
        <v/>
      </c>
      <c r="Q32" s="46">
        <v>0</v>
      </c>
      <c r="R32" s="47" t="str">
        <f>IF(Setup!B39&lt;&gt;"",L32-O32-Q32,"")</f>
        <v/>
      </c>
    </row>
    <row r="33" spans="1:18" ht="21.75" customHeight="1" x14ac:dyDescent="0.3">
      <c r="A33" s="18">
        <f>Setup!B40</f>
        <v>0</v>
      </c>
      <c r="B33" s="48" t="str">
        <f>IF(Setup!B40&lt;&gt;"",Setup!C40,"")</f>
        <v/>
      </c>
      <c r="C33" s="49" t="str">
        <f>IF(Setup!B40&lt;&gt;"",$B3,"")</f>
        <v/>
      </c>
      <c r="D33" s="50" t="str">
        <f>IF(Setup!B40&lt;&gt;"",Attendance_Dec!AD39,"")</f>
        <v/>
      </c>
      <c r="E33" s="49" t="str">
        <f>IF(Setup!B40&lt;&gt;"",Attendance_Dec!AD40,"")</f>
        <v/>
      </c>
      <c r="F33" s="51" t="str">
        <f>IFERROR(IF(Setup!B40&lt;&gt;"",B33/C33,""),"")</f>
        <v/>
      </c>
      <c r="G33" s="50" t="str">
        <f>IF(Setup!B40&lt;&gt;"",MIN(D33,C33),"")</f>
        <v/>
      </c>
      <c r="H33" s="50" t="str">
        <f>IF(Setup!B40&lt;&gt;"",MAX(D33-C33,0),"")</f>
        <v/>
      </c>
      <c r="I33" s="19" t="str">
        <f>IF(Setup!B40&lt;&gt;"",F33*G33,"")</f>
        <v/>
      </c>
      <c r="J33" s="19" t="str">
        <f>IF(Setup!B40&lt;&gt;"",F33*H33*$B4,"")</f>
        <v/>
      </c>
      <c r="K33" s="19" t="str">
        <f>IF(Setup!B40&lt;&gt;"",IF(E33=0,$B5,0),"")</f>
        <v/>
      </c>
      <c r="L33" s="52" t="str">
        <f>IF(Setup!B40&lt;&gt;"",I33+J33+K33,"")</f>
        <v/>
      </c>
      <c r="M33" s="19" t="str">
        <f>IF(Setup!B40&lt;&gt;"",Payroll_Nov!P33,"")</f>
        <v/>
      </c>
      <c r="N33" s="46">
        <v>0</v>
      </c>
      <c r="O33" s="46">
        <v>0</v>
      </c>
      <c r="P33" s="52" t="str">
        <f>IF(Setup!B40&lt;&gt;"",M33+N33-O33,"")</f>
        <v/>
      </c>
      <c r="Q33" s="46">
        <v>0</v>
      </c>
      <c r="R33" s="47" t="str">
        <f>IF(Setup!B40&lt;&gt;"",L33-O33-Q33,"")</f>
        <v/>
      </c>
    </row>
    <row r="34" spans="1:18" ht="21.75" customHeight="1" x14ac:dyDescent="0.3">
      <c r="A34" s="1">
        <f>Setup!B41</f>
        <v>0</v>
      </c>
      <c r="B34" s="40" t="str">
        <f>IF(Setup!B41&lt;&gt;"",Setup!C41,"")</f>
        <v/>
      </c>
      <c r="C34" s="41" t="str">
        <f>IF(Setup!B41&lt;&gt;"",$B3,"")</f>
        <v/>
      </c>
      <c r="D34" s="42" t="str">
        <f>IF(Setup!B41&lt;&gt;"",Attendance_Dec!AE39,"")</f>
        <v/>
      </c>
      <c r="E34" s="41" t="str">
        <f>IF(Setup!B41&lt;&gt;"",Attendance_Dec!AE40,"")</f>
        <v/>
      </c>
      <c r="F34" s="43" t="str">
        <f>IFERROR(IF(Setup!B41&lt;&gt;"",B34/C34,""),"")</f>
        <v/>
      </c>
      <c r="G34" s="42" t="str">
        <f>IF(Setup!B41&lt;&gt;"",MIN(D34,C34),"")</f>
        <v/>
      </c>
      <c r="H34" s="42" t="str">
        <f>IF(Setup!B41&lt;&gt;"",MAX(D34-C34,0),"")</f>
        <v/>
      </c>
      <c r="I34" s="16" t="str">
        <f>IF(Setup!B41&lt;&gt;"",F34*G34,"")</f>
        <v/>
      </c>
      <c r="J34" s="16" t="str">
        <f>IF(Setup!B41&lt;&gt;"",F34*H34*$B4,"")</f>
        <v/>
      </c>
      <c r="K34" s="16" t="str">
        <f>IF(Setup!B41&lt;&gt;"",IF(E34=0,$B5,0),"")</f>
        <v/>
      </c>
      <c r="L34" s="44" t="str">
        <f>IF(Setup!B41&lt;&gt;"",I34+J34+K34,"")</f>
        <v/>
      </c>
      <c r="M34" s="16" t="str">
        <f>IF(Setup!B41&lt;&gt;"",Payroll_Nov!P34,"")</f>
        <v/>
      </c>
      <c r="N34" s="46">
        <v>0</v>
      </c>
      <c r="O34" s="46">
        <v>0</v>
      </c>
      <c r="P34" s="44" t="str">
        <f>IF(Setup!B41&lt;&gt;"",M34+N34-O34,"")</f>
        <v/>
      </c>
      <c r="Q34" s="46">
        <v>0</v>
      </c>
      <c r="R34" s="47" t="str">
        <f>IF(Setup!B41&lt;&gt;"",L34-O34-Q34,"")</f>
        <v/>
      </c>
    </row>
    <row r="35" spans="1:18" ht="21.75" customHeight="1" x14ac:dyDescent="0.3">
      <c r="A35" s="18">
        <f>Setup!B42</f>
        <v>0</v>
      </c>
      <c r="B35" s="48" t="str">
        <f>IF(Setup!B42&lt;&gt;"",Setup!C42,"")</f>
        <v/>
      </c>
      <c r="C35" s="49" t="str">
        <f>IF(Setup!B42&lt;&gt;"",$B3,"")</f>
        <v/>
      </c>
      <c r="D35" s="50" t="str">
        <f>IF(Setup!B42&lt;&gt;"",Attendance_Dec!AF39,"")</f>
        <v/>
      </c>
      <c r="E35" s="49" t="str">
        <f>IF(Setup!B42&lt;&gt;"",Attendance_Dec!AF40,"")</f>
        <v/>
      </c>
      <c r="F35" s="51" t="str">
        <f>IFERROR(IF(Setup!B42&lt;&gt;"",B35/C35,""),"")</f>
        <v/>
      </c>
      <c r="G35" s="50" t="str">
        <f>IF(Setup!B42&lt;&gt;"",MIN(D35,C35),"")</f>
        <v/>
      </c>
      <c r="H35" s="50" t="str">
        <f>IF(Setup!B42&lt;&gt;"",MAX(D35-C35,0),"")</f>
        <v/>
      </c>
      <c r="I35" s="19" t="str">
        <f>IF(Setup!B42&lt;&gt;"",F35*G35,"")</f>
        <v/>
      </c>
      <c r="J35" s="19" t="str">
        <f>IF(Setup!B42&lt;&gt;"",F35*H35*$B4,"")</f>
        <v/>
      </c>
      <c r="K35" s="19" t="str">
        <f>IF(Setup!B42&lt;&gt;"",IF(E35=0,$B5,0),"")</f>
        <v/>
      </c>
      <c r="L35" s="52" t="str">
        <f>IF(Setup!B42&lt;&gt;"",I35+J35+K35,"")</f>
        <v/>
      </c>
      <c r="M35" s="19" t="str">
        <f>IF(Setup!B42&lt;&gt;"",Payroll_Nov!P35,"")</f>
        <v/>
      </c>
      <c r="N35" s="46">
        <v>0</v>
      </c>
      <c r="O35" s="46">
        <v>0</v>
      </c>
      <c r="P35" s="52" t="str">
        <f>IF(Setup!B42&lt;&gt;"",M35+N35-O35,"")</f>
        <v/>
      </c>
      <c r="Q35" s="46">
        <v>0</v>
      </c>
      <c r="R35" s="47" t="str">
        <f>IF(Setup!B42&lt;&gt;"",L35-O35-Q35,"")</f>
        <v/>
      </c>
    </row>
    <row r="36" spans="1:18" ht="21.75" customHeight="1" x14ac:dyDescent="0.3">
      <c r="A36" s="1">
        <f>Setup!B43</f>
        <v>0</v>
      </c>
      <c r="B36" s="40" t="str">
        <f>IF(Setup!B43&lt;&gt;"",Setup!C43,"")</f>
        <v/>
      </c>
      <c r="C36" s="41" t="str">
        <f>IF(Setup!B43&lt;&gt;"",$B3,"")</f>
        <v/>
      </c>
      <c r="D36" s="42" t="str">
        <f>IF(Setup!B43&lt;&gt;"",Attendance_Dec!AG39,"")</f>
        <v/>
      </c>
      <c r="E36" s="41" t="str">
        <f>IF(Setup!B43&lt;&gt;"",Attendance_Dec!AG40,"")</f>
        <v/>
      </c>
      <c r="F36" s="43" t="str">
        <f>IFERROR(IF(Setup!B43&lt;&gt;"",B36/C36,""),"")</f>
        <v/>
      </c>
      <c r="G36" s="42" t="str">
        <f>IF(Setup!B43&lt;&gt;"",MIN(D36,C36),"")</f>
        <v/>
      </c>
      <c r="H36" s="42" t="str">
        <f>IF(Setup!B43&lt;&gt;"",MAX(D36-C36,0),"")</f>
        <v/>
      </c>
      <c r="I36" s="16" t="str">
        <f>IF(Setup!B43&lt;&gt;"",F36*G36,"")</f>
        <v/>
      </c>
      <c r="J36" s="16" t="str">
        <f>IF(Setup!B43&lt;&gt;"",F36*H36*$B4,"")</f>
        <v/>
      </c>
      <c r="K36" s="16" t="str">
        <f>IF(Setup!B43&lt;&gt;"",IF(E36=0,$B5,0),"")</f>
        <v/>
      </c>
      <c r="L36" s="44" t="str">
        <f>IF(Setup!B43&lt;&gt;"",I36+J36+K36,"")</f>
        <v/>
      </c>
      <c r="M36" s="16" t="str">
        <f>IF(Setup!B43&lt;&gt;"",Payroll_Nov!P36,"")</f>
        <v/>
      </c>
      <c r="N36" s="46">
        <v>0</v>
      </c>
      <c r="O36" s="46">
        <v>0</v>
      </c>
      <c r="P36" s="44" t="str">
        <f>IF(Setup!B43&lt;&gt;"",M36+N36-O36,"")</f>
        <v/>
      </c>
      <c r="Q36" s="46">
        <v>0</v>
      </c>
      <c r="R36" s="47" t="str">
        <f>IF(Setup!B43&lt;&gt;"",L36-O36-Q36,"")</f>
        <v/>
      </c>
    </row>
    <row r="37" spans="1:18" ht="21.75" customHeight="1" x14ac:dyDescent="0.3">
      <c r="A37" s="18">
        <f>Setup!B44</f>
        <v>0</v>
      </c>
      <c r="B37" s="48" t="str">
        <f>IF(Setup!B44&lt;&gt;"",Setup!C44,"")</f>
        <v/>
      </c>
      <c r="C37" s="49" t="str">
        <f>IF(Setup!B44&lt;&gt;"",$B3,"")</f>
        <v/>
      </c>
      <c r="D37" s="50" t="str">
        <f>IF(Setup!B44&lt;&gt;"",Attendance_Dec!AH39,"")</f>
        <v/>
      </c>
      <c r="E37" s="49" t="str">
        <f>IF(Setup!B44&lt;&gt;"",Attendance_Dec!AH40,"")</f>
        <v/>
      </c>
      <c r="F37" s="51" t="str">
        <f>IFERROR(IF(Setup!B44&lt;&gt;"",B37/C37,""),"")</f>
        <v/>
      </c>
      <c r="G37" s="50" t="str">
        <f>IF(Setup!B44&lt;&gt;"",MIN(D37,C37),"")</f>
        <v/>
      </c>
      <c r="H37" s="50" t="str">
        <f>IF(Setup!B44&lt;&gt;"",MAX(D37-C37,0),"")</f>
        <v/>
      </c>
      <c r="I37" s="19" t="str">
        <f>IF(Setup!B44&lt;&gt;"",F37*G37,"")</f>
        <v/>
      </c>
      <c r="J37" s="19" t="str">
        <f>IF(Setup!B44&lt;&gt;"",F37*H37*$B4,"")</f>
        <v/>
      </c>
      <c r="K37" s="19" t="str">
        <f>IF(Setup!B44&lt;&gt;"",IF(E37=0,$B5,0),"")</f>
        <v/>
      </c>
      <c r="L37" s="52" t="str">
        <f>IF(Setup!B44&lt;&gt;"",I37+J37+K37,"")</f>
        <v/>
      </c>
      <c r="M37" s="19" t="str">
        <f>IF(Setup!B44&lt;&gt;"",Payroll_Nov!P37,"")</f>
        <v/>
      </c>
      <c r="N37" s="46">
        <v>0</v>
      </c>
      <c r="O37" s="46">
        <v>0</v>
      </c>
      <c r="P37" s="52" t="str">
        <f>IF(Setup!B44&lt;&gt;"",M37+N37-O37,"")</f>
        <v/>
      </c>
      <c r="Q37" s="46">
        <v>0</v>
      </c>
      <c r="R37" s="47" t="str">
        <f>IF(Setup!B44&lt;&gt;"",L37-O37-Q37,"")</f>
        <v/>
      </c>
    </row>
    <row r="38" spans="1:18" ht="25.5" customHeight="1" x14ac:dyDescent="0.3">
      <c r="A38" s="55" t="s">
        <v>113</v>
      </c>
      <c r="B38" s="55"/>
      <c r="C38" s="17">
        <f>SUM(C8:C37)</f>
        <v>3024</v>
      </c>
      <c r="D38" s="36">
        <f>SUM(D8:D37)</f>
        <v>0</v>
      </c>
      <c r="E38" s="17">
        <f>SUM(E8:E37)</f>
        <v>0</v>
      </c>
      <c r="F38" s="17"/>
      <c r="G38" s="36">
        <f t="shared" ref="G38:R38" si="0">SUM(G8:G37)</f>
        <v>0</v>
      </c>
      <c r="H38" s="36">
        <f t="shared" si="0"/>
        <v>0</v>
      </c>
      <c r="I38" s="17">
        <f t="shared" si="0"/>
        <v>0</v>
      </c>
      <c r="J38" s="17">
        <f t="shared" si="0"/>
        <v>0</v>
      </c>
      <c r="K38" s="17">
        <f t="shared" si="0"/>
        <v>0</v>
      </c>
      <c r="L38" s="17">
        <f t="shared" si="0"/>
        <v>0</v>
      </c>
      <c r="M38" s="17">
        <f t="shared" si="0"/>
        <v>93000</v>
      </c>
      <c r="N38" s="17">
        <f t="shared" si="0"/>
        <v>0</v>
      </c>
      <c r="O38" s="17">
        <f t="shared" si="0"/>
        <v>0</v>
      </c>
      <c r="P38" s="17">
        <f t="shared" si="0"/>
        <v>93000</v>
      </c>
      <c r="Q38" s="17">
        <f t="shared" si="0"/>
        <v>0</v>
      </c>
      <c r="R38" s="17">
        <f t="shared" si="0"/>
        <v>0</v>
      </c>
    </row>
    <row r="40" spans="1:18" ht="19.5" customHeight="1" x14ac:dyDescent="0.3">
      <c r="A40" s="56" t="s">
        <v>114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</row>
  </sheetData>
  <mergeCells count="3">
    <mergeCell ref="A1:R1"/>
    <mergeCell ref="A38:B38"/>
    <mergeCell ref="A40:R4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24</vt:i4>
      </vt:variant>
    </vt:vector>
  </HeadingPairs>
  <TitlesOfParts>
    <vt:vector size="50" baseType="lpstr">
      <vt:lpstr>Setup</vt:lpstr>
      <vt:lpstr>Annual_Summary</vt:lpstr>
      <vt:lpstr>Attendance_Jan</vt:lpstr>
      <vt:lpstr>Attendance_Feb</vt:lpstr>
      <vt:lpstr>Attendance_Mar</vt:lpstr>
      <vt:lpstr>Attendance_Apr</vt:lpstr>
      <vt:lpstr>Attendance_May</vt:lpstr>
      <vt:lpstr>Attendance_Jun</vt:lpstr>
      <vt:lpstr>Attendance_Jul</vt:lpstr>
      <vt:lpstr>Attendance_Aug</vt:lpstr>
      <vt:lpstr>Attendance_Sep</vt:lpstr>
      <vt:lpstr>Attendance_Oct</vt:lpstr>
      <vt:lpstr>Attendance_Nov</vt:lpstr>
      <vt:lpstr>Attendance_Dec</vt:lpstr>
      <vt:lpstr>Payroll_Jan</vt:lpstr>
      <vt:lpstr>Payroll_Feb</vt:lpstr>
      <vt:lpstr>Payroll_Mar</vt:lpstr>
      <vt:lpstr>Payroll_Apr</vt:lpstr>
      <vt:lpstr>Payroll_May</vt:lpstr>
      <vt:lpstr>Payroll_Jun</vt:lpstr>
      <vt:lpstr>Payroll_Jul</vt:lpstr>
      <vt:lpstr>Payroll_Aug</vt:lpstr>
      <vt:lpstr>Payroll_Sep</vt:lpstr>
      <vt:lpstr>Payroll_Oct</vt:lpstr>
      <vt:lpstr>Payroll_Nov</vt:lpstr>
      <vt:lpstr>Payroll_Dec</vt:lpstr>
      <vt:lpstr>Attendance_Apr!Print_Titles</vt:lpstr>
      <vt:lpstr>Attendance_Aug!Print_Titles</vt:lpstr>
      <vt:lpstr>Attendance_Dec!Print_Titles</vt:lpstr>
      <vt:lpstr>Attendance_Feb!Print_Titles</vt:lpstr>
      <vt:lpstr>Attendance_Jan!Print_Titles</vt:lpstr>
      <vt:lpstr>Attendance_Jul!Print_Titles</vt:lpstr>
      <vt:lpstr>Attendance_Jun!Print_Titles</vt:lpstr>
      <vt:lpstr>Attendance_Mar!Print_Titles</vt:lpstr>
      <vt:lpstr>Attendance_May!Print_Titles</vt:lpstr>
      <vt:lpstr>Attendance_Nov!Print_Titles</vt:lpstr>
      <vt:lpstr>Attendance_Oct!Print_Titles</vt:lpstr>
      <vt:lpstr>Attendance_Sep!Print_Titles</vt:lpstr>
      <vt:lpstr>Payroll_Apr!Print_Titles</vt:lpstr>
      <vt:lpstr>Payroll_Aug!Print_Titles</vt:lpstr>
      <vt:lpstr>Payroll_Dec!Print_Titles</vt:lpstr>
      <vt:lpstr>Payroll_Feb!Print_Titles</vt:lpstr>
      <vt:lpstr>Payroll_Jan!Print_Titles</vt:lpstr>
      <vt:lpstr>Payroll_Jul!Print_Titles</vt:lpstr>
      <vt:lpstr>Payroll_Jun!Print_Titles</vt:lpstr>
      <vt:lpstr>Payroll_Mar!Print_Titles</vt:lpstr>
      <vt:lpstr>Payroll_May!Print_Titles</vt:lpstr>
      <vt:lpstr>Payroll_Nov!Print_Titles</vt:lpstr>
      <vt:lpstr>Payroll_Oct!Print_Titles</vt:lpstr>
      <vt:lpstr>Payroll_Sep!Print_Titles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ahtishamking014@gmail.com</cp:lastModifiedBy>
  <cp:revision>0</cp:revision>
  <dcterms:created xsi:type="dcterms:W3CDTF">2026-04-02T02:39:48Z</dcterms:created>
  <dcterms:modified xsi:type="dcterms:W3CDTF">2026-08-04T13:21:36Z</dcterms:modified>
  <dc:language>en-US</dc:language>
</cp:coreProperties>
</file>